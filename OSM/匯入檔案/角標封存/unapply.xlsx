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C6C9CE65-E40D-4755-B11D-A0F524B0AC3C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unapply" sheetId="1" r:id="rId1"/>
    <sheet name="查salepage" sheetId="2" r:id="rId2"/>
    <sheet name="檢查API" sheetId="3" r:id="rId3"/>
    <sheet name="角標100_查詢" sheetId="5" r:id="rId4"/>
    <sheet name="解綁100" sheetId="6" r:id="rId5"/>
    <sheet name="檢查100" sheetId="7" r:id="rId6"/>
    <sheet name="結果" sheetId="4" r:id="rId7"/>
  </sheets>
  <definedNames>
    <definedName name="_xlnm._FilterDatabase" localSheetId="0" hidden="1">unapply!$A$1:$E$81</definedName>
    <definedName name="_xlnm._FilterDatabase" localSheetId="1" hidden="1">查salepage!$A$1:$G$83</definedName>
    <definedName name="_xlnm._FilterDatabase" localSheetId="2" hidden="1">檢查API!$A$1:$G$81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4" l="1"/>
  <c r="E14" i="4"/>
  <c r="D14" i="4"/>
  <c r="D9" i="4"/>
  <c r="D7" i="4" s="1"/>
  <c r="D21" i="4" s="1"/>
  <c r="F9" i="4"/>
  <c r="F7" i="4" s="1"/>
  <c r="F21" i="4" s="1"/>
  <c r="E9" i="4"/>
  <c r="E7" i="4" s="1"/>
  <c r="E21" i="4" s="1"/>
  <c r="D16" i="4"/>
  <c r="D17" i="4" s="1"/>
  <c r="F16" i="4"/>
  <c r="F17" i="4" s="1"/>
  <c r="E16" i="4"/>
  <c r="E17" i="4" s="1"/>
  <c r="D13" i="4"/>
  <c r="D26" i="4" s="1"/>
  <c r="F13" i="4"/>
  <c r="F26" i="4" s="1"/>
  <c r="E13" i="4"/>
  <c r="E26" i="4" s="1"/>
  <c r="B7" i="7"/>
  <c r="B8" i="6"/>
  <c r="B7" i="5"/>
  <c r="D87" i="3"/>
  <c r="D85" i="1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D86" i="3" s="1"/>
  <c r="C2" i="3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D89" i="2" s="1"/>
  <c r="C2" i="2"/>
  <c r="D2" i="1"/>
  <c r="D84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2" i="1"/>
  <c r="X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2" i="1"/>
  <c r="T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3" i="1"/>
  <c r="R4" i="1"/>
  <c r="R5" i="1"/>
  <c r="R6" i="1"/>
  <c r="R7" i="1"/>
  <c r="R8" i="1"/>
  <c r="R9" i="1"/>
  <c r="R10" i="1"/>
  <c r="R11" i="1"/>
  <c r="R12" i="1"/>
  <c r="R13" i="1"/>
  <c r="R14" i="1"/>
  <c r="R2" i="1"/>
  <c r="E8" i="4" l="1"/>
  <c r="F8" i="4"/>
  <c r="D8" i="4"/>
  <c r="D88" i="2"/>
</calcChain>
</file>

<file path=xl/sharedStrings.xml><?xml version="1.0" encoding="utf-8"?>
<sst xmlns="http://schemas.openxmlformats.org/spreadsheetml/2006/main" count="1039" uniqueCount="791">
  <si>
    <t>labels</t>
  </si>
  <si>
    <t>Time</t>
  </si>
  <si>
    <t>tsNs</t>
  </si>
  <si>
    <t>id</t>
  </si>
  <si>
    <t>{"__tenant_id__":"fake","_hid":"commerce-nmqv3-console-nmqv3worker-59786bdfb-hxdpg","_lt":"Common","_lvl":"Information","_msg":"2024-03-18T10:14:07.4671590Z [Information] 目標角標序號：100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07.4672490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07.467414573Z"}</t>
  </si>
  <si>
    <t>1710756847467414573_988f1604</t>
  </si>
  <si>
    <t>{"__tenant_id__":"fake","_hid":"commerce-nmqv3-console-nmqv3worker-59786bdfb-hxdpg","_lt":"Common","_lvl":"Information","_msg":"2024-03-18T10:14:06.4700543Z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06.4700990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06.470150044Z"}</t>
  </si>
  <si>
    <t>1710756846470150044</t>
  </si>
  <si>
    <t>1710756846470150044_ca47b38a</t>
  </si>
  <si>
    <t>{"__tenant_id__":"fake","_hid":"commerce-nmqv3-console-nmqv3worker-59786bdfb-hxdpg","_lt":"Common","_lvl":"Information","_msg":"2024-03-18T10:14:06.3935201Z [Information] 目標角標序號：99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06.3936078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06.393763977Z"}</t>
  </si>
  <si>
    <t>1710756846393763977</t>
  </si>
  <si>
    <t>1710756846393763977_1dafc4f8</t>
  </si>
  <si>
    <t>{"__tenant_id__":"fake","_hid":"commerce-nmqv3-console-nmqv3worker-59786bdfb-hxdpg","_lt":"Common","_lvl":"Information","_msg":"2024-03-18T10:14:05.4694530Z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05.4695275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05.469577658Z"}</t>
  </si>
  <si>
    <t>{"time":"2024-03-18T10:14:05.469577658Z","stream":"stdout","_ts":"2024-03-18T10:14:05.4695275Z","_msg":"2024-03-18T10:14:05.4694530Z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</si>
  <si>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1710756845469577658</t>
  </si>
  <si>
    <t>1710756845469577658_630b5958</t>
  </si>
  <si>
    <t>{"__tenant_id__":"fake","_hid":"commerce-nmqv3-console-nmqv3worker-59786bdfb-hxdpg","_lt":"Common","_lvl":"Information","_msg":"2024-03-18T10:14:05.4018237Z [Information] 目標角標序號：98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05.4019128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05.402081433Z"}</t>
  </si>
  <si>
    <t>1710756845402081433</t>
  </si>
  <si>
    <t>1710756845402081433_eeb2b634</t>
  </si>
  <si>
    <t>{"__tenant_id__":"fake","_hid":"commerce-nmqv3-console-nmqv3worker-59786bdfb-hxdpg","_lt":"Common","_lvl":"Information","_msg":"2024-03-18T10:14:04.5711651Z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04.5712806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04.571317535Z"}</t>
  </si>
  <si>
    <t>1710756844571317535</t>
  </si>
  <si>
    <t>1710756844571317535_3e4aeb26</t>
  </si>
  <si>
    <t>{"__tenant_id__":"fake","_hid":"commerce-nmqv3-console-nmqv3worker-59786bdfb-hxdpg","_lt":"Common","_lvl":"Information","_msg":"2024-03-18T10:14:04.4891795Z [Information] 目標角標序號：97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04.4892694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04.489443482Z"}</t>
  </si>
  <si>
    <t>{"time":"2024-03-18T10:14:04.489443482Z","stream":"stdout","_ts":"2024-03-18T10:14:04.4892694Z","_msg":"2024-03-18T10:14:04.4891795Z [Information] 目標角標序號：97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</si>
  <si>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1710756844489443482</t>
  </si>
  <si>
    <t>1710756844489443482_3ec9f114</t>
  </si>
  <si>
    <t>{"__tenant_id__":"fake","_hid":"commerce-nmqv3-console-nmqv3worker-59786bdfb-hxdpg","_lt":"Common","_lvl":"Information","_msg":"2024-03-18T10:14:03.5816507Z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03.5816861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03.581730301Z"}</t>
  </si>
  <si>
    <t>{"time":"2024-03-18T10:14:03.581730301Z","stream":"stdout","_ts":"2024-03-18T10:14:03.5816861Z","_msg":"2024-03-18T10:14:03.5816507Z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</si>
  <si>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1710756843581730301</t>
  </si>
  <si>
    <t>1710756843581730301_b831c6d0</t>
  </si>
  <si>
    <t>{"__tenant_id__":"fake","_hid":"commerce-nmqv3-console-nmqv3worker-59786bdfb-hxdpg","_lt":"Common","_lvl":"Information","_msg":"2024-03-18T10:14:03.5091755Z [Information] 目標角標序號：96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03.5092660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03.509453304Z"}</t>
  </si>
  <si>
    <t>{"time":"2024-03-18T10:14:03.509453304Z","stream":"stdout","_ts":"2024-03-18T10:14:03.5092660Z","_msg":"2024-03-18T10:14:03.5091755Z [Information] 目標角標序號：96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</si>
  <si>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1710756843509453304</t>
  </si>
  <si>
    <t>1710756843509453304_82361390</t>
  </si>
  <si>
    <t>{"__tenant_id__":"fake","_hid":"commerce-nmqv3-console-nmqv3worker-59786bdfb-hxdpg","_lt":"Common","_lvl":"Information","_msg":"2024-03-18T10:14:02.5638304Z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02.5638770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02.563937784Z"}</t>
  </si>
  <si>
    <t>{"time":"2024-03-18T10:14:02.563937784Z","stream":"stdout","_ts":"2024-03-18T10:14:02.5638770Z","_msg":"2024-03-18T10:14:02.5638304Z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</si>
  <si>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1710756842563937784</t>
  </si>
  <si>
    <t>1710756842563937784_f7e5c4aa</t>
  </si>
  <si>
    <t>{"__tenant_id__":"fake","_hid":"commerce-nmqv3-console-nmqv3worker-59786bdfb-hxdpg","_lt":"Common","_lvl":"Information","_msg":"2024-03-18T10:14:02.4890111Z [Information] 目標角標序號：95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02.4890991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02.489265348Z"}</t>
  </si>
  <si>
    <t>{"time":"2024-03-18T10:14:02.489265348Z","stream":"stdout","_ts":"2024-03-18T10:14:02.4890991Z","_msg":"2024-03-18T10:14:02.4890111Z [Information] 目標角標序號：95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</si>
  <si>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1710756842489265348</t>
  </si>
  <si>
    <t>1710756842489265348_5f7c6a74</t>
  </si>
  <si>
    <t>{"__tenant_id__":"fake","_hid":"commerce-nmqv3-console-nmqv3worker-59786bdfb-hxdpg","_lt":"Common","_lvl":"Information","_msg":"2024-03-18T10:14:01.4108869Z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01.4109159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01.410971455Z"}</t>
  </si>
  <si>
    <t>{"time":"2024-03-18T10:14:01.410971455Z","stream":"stdout","_ts":"2024-03-18T10:14:01.4109159Z","_msg":"2024-03-18T10:14:01.4108869Z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</si>
  <si>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1710756841410971455</t>
  </si>
  <si>
    <t>1710756841410971455_5e1d1f0</t>
  </si>
  <si>
    <t>{"__tenant_id__":"fake","_hid":"commerce-nmqv3-console-nmqv3worker-59786bdfb-hxdpg","_lt":"Common","_lvl":"Information","_msg":"2024-03-18T10:14:01.3015896Z [Information] 目標角標序號：94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01.3016874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01.301845821Z"}</t>
  </si>
  <si>
    <t>{"time":"2024-03-18T10:14:01.301845821Z","stream":"stdout","_ts":"2024-03-18T10:14:01.3016874Z","_msg":"2024-03-18T10:14:01.3015896Z [Information] 目標角標序號：94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</si>
  <si>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1710756841301845821</t>
  </si>
  <si>
    <t>1710756841301845821_b326c590</t>
  </si>
  <si>
    <t>{"__tenant_id__":"fake","_hid":"commerce-nmqv3-console-nmqv3worker-59786bdfb-hxdpg","_lt":"Common","_lvl":"Information","_msg":"2024-03-18T10:14:00.2766415Z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00.2767389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00.276787489Z"}</t>
  </si>
  <si>
    <t>{"time":"2024-03-18T10:14:00.276787489Z","stream":"stdout","_ts":"2024-03-18T10:14:00.2767389Z","_msg":"2024-03-18T10:14:00.2766415Z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</si>
  <si>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1710756840276787489</t>
  </si>
  <si>
    <t>1710756840276787489_2db5b98e</t>
  </si>
  <si>
    <t>{"__tenant_id__":"fake","_hid":"commerce-nmqv3-console-nmqv3worker-59786bdfb-hxdpg","_lt":"Common","_lvl":"Information","_msg":"2024-03-18T10:14:00.1968742Z [Information] 目標角標序號：93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00.1969737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00.197096777Z"}</t>
  </si>
  <si>
    <t>{"time":"2024-03-18T10:14:00.197096777Z","stream":"stdout","_ts":"2024-03-18T10:14:00.1969737Z","_msg":"2024-03-18T10:14:00.1968742Z [Information] 目標角標序號：93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</si>
  <si>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1710756840197096777</t>
  </si>
  <si>
    <t>1710756840197096777_5f051aaa</t>
  </si>
  <si>
    <t>{"__tenant_id__":"fake","_hid":"commerce-nmqv3-console-nmqv3worker-59786bdfb-hxdpg","_lt":"Common","_lvl":"Information","_msg":"2024-03-18T10:13:59.2824567Z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59.2824864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59.282534545Z"}</t>
  </si>
  <si>
    <t>{"time":"2024-03-18T10:13:59.282534545Z","stream":"stdout","_ts":"2024-03-18T10:13:59.2824864Z","_msg":"2024-03-18T10:13:59.2824567Z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</si>
  <si>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1710756839282534545</t>
  </si>
  <si>
    <t>1710756839282534545_9bbc86de</t>
  </si>
  <si>
    <t>{"__tenant_id__":"fake","_hid":"commerce-nmqv3-console-nmqv3worker-59786bdfb-hxdpg","_lt":"Common","_lvl":"Information","_msg":"2024-03-18T10:13:59.1933158Z [Information] 目標角標序號：92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59.1933998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59.193548129Z"}</t>
  </si>
  <si>
    <t>{"time":"2024-03-18T10:13:59.193548129Z","stream":"stdout","_ts":"2024-03-18T10:13:59.1933998Z","_msg":"2024-03-18T10:13:59.1933158Z [Information] 目標角標序號：92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</si>
  <si>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1710756839193548129</t>
  </si>
  <si>
    <t>1710756839193548129_65f48a4e</t>
  </si>
  <si>
    <t>{"__tenant_id__":"fake","_hid":"commerce-nmqv3-console-nmqv3worker-59786bdfb-hxdpg","_lt":"Common","_lvl":"Information","_msg":"2024-03-18T10:13:58.1928964Z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58.1929268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58.192983516Z"}</t>
  </si>
  <si>
    <t>{"time":"2024-03-18T10:13:58.192983516Z","stream":"stdout","_ts":"2024-03-18T10:13:58.1929268Z","_msg":"2024-03-18T10:13:58.1928964Z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</si>
  <si>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1710756838192983516</t>
  </si>
  <si>
    <t>1710756838192983516_33e7802c</t>
  </si>
  <si>
    <t>{"__tenant_id__":"fake","_hid":"commerce-nmqv3-console-nmqv3worker-59786bdfb-hxdpg","_lt":"Common","_lvl":"Information","_msg":"2024-03-18T10:13:58.0933973Z [Information] 目標角標序號：91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58.0935099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58.093662022Z"}</t>
  </si>
  <si>
    <t>{"time":"2024-03-18T10:13:58.093662022Z","stream":"stdout","_ts":"2024-03-18T10:13:58.0935099Z","_msg":"2024-03-18T10:13:58.0933973Z [Information] 目標角標序號：91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</si>
  <si>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1710756838093662022</t>
  </si>
  <si>
    <t>1710756838093662022_fcd8d0f0</t>
  </si>
  <si>
    <t>{"__tenant_id__":"fake","_hid":"commerce-nmqv3-console-nmqv3worker-59786bdfb-hxdpg","_lt":"Common","_lvl":"Information","_msg":"2024-03-18T10:13:57.1405585Z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57.1406538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57.140709756Z"}</t>
  </si>
  <si>
    <t>{"time":"2024-03-18T10:13:57.140709756Z","stream":"stdout","_ts":"2024-03-18T10:13:57.1406538Z","_msg":"2024-03-18T10:13:57.1405585Z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</si>
  <si>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1710756837140709756</t>
  </si>
  <si>
    <t>1710756837140709756_18ca6e66</t>
  </si>
  <si>
    <t>{"__tenant_id__":"fake","_hid":"commerce-nmqv3-console-nmqv3worker-59786bdfb-hxdpg","_lt":"Common","_lvl":"Information","_msg":"2024-03-18T10:13:57.0659165Z [Information] 目標角標序號：90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57.0660062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57.066172982Z"}</t>
  </si>
  <si>
    <t>{"time":"2024-03-18T10:13:57.066172982Z","stream":"stdout","_ts":"2024-03-18T10:13:57.0660062Z","_msg":"2024-03-18T10:13:57.0659165Z [Information] 目標角標序號：90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</si>
  <si>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1710756837066172982</t>
  </si>
  <si>
    <t>1710756837066172982_f9985dec</t>
  </si>
  <si>
    <t>{"__tenant_id__":"fake","_hid":"commerce-nmqv3-console-nmqv3worker-59786bdfb-hxdpg","_lt":"Common","_lvl":"Information","_msg":"2024-03-18T10:13:56.1232578Z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56.1233485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56.123407232Z"}</t>
  </si>
  <si>
    <t>{"time":"2024-03-18T10:13:56.123407232Z","stream":"stdout","_ts":"2024-03-18T10:13:56.1233485Z","_msg":"2024-03-18T10:13:56.1232578Z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</si>
  <si>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1710756836123407232</t>
  </si>
  <si>
    <t>1710756836123407232_7f2a8a5e</t>
  </si>
  <si>
    <t>{"__tenant_id__":"fake","_hid":"commerce-nmqv3-console-nmqv3worker-59786bdfb-hxdpg","_lt":"Common","_lvl":"Information","_msg":"2024-03-18T10:13:56.0521093Z [Information] 目標角標序號：89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56.0522018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56.052362242Z"}</t>
  </si>
  <si>
    <t>{"time":"2024-03-18T10:13:56.052362242Z","stream":"stdout","_ts":"2024-03-18T10:13:56.0522018Z","_msg":"2024-03-18T10:13:56.0521093Z [Information] 目標角標序號：89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</si>
  <si>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1710756836052362242</t>
  </si>
  <si>
    <t>1710756836052362242_76ad4af8</t>
  </si>
  <si>
    <t>{"__tenant_id__":"fake","_hid":"commerce-nmqv3-console-nmqv3worker-59786bdfb-hxdpg","_lt":"Common","_lvl":"Information","_msg":"2024-03-18T10:13:55.1311112Z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55.1311391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55.131187937Z"}</t>
  </si>
  <si>
    <t>{"time":"2024-03-18T10:13:55.131187937Z","stream":"stdout","_ts":"2024-03-18T10:13:55.1311391Z","_msg":"2024-03-18T10:13:55.1311112Z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</si>
  <si>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1710756835131187937</t>
  </si>
  <si>
    <t>1710756835131187937_1871cda4</t>
  </si>
  <si>
    <t>{"__tenant_id__":"fake","_hid":"commerce-nmqv3-console-nmqv3worker-59786bdfb-hxdpg","_lt":"Common","_lvl":"Information","_msg":"2024-03-18T10:13:54.3589889Z [Information] 目標角標序號：87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54.3590771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54.359233889Z"}</t>
  </si>
  <si>
    <t>{"time":"2024-03-18T10:13:54.359233889Z","stream":"stdout","_ts":"2024-03-18T10:13:54.3590771Z","_msg":"2024-03-18T10:13:54.3589889Z [Information] 目標角標序號：87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</si>
  <si>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1710756834359233889</t>
  </si>
  <si>
    <t>1710756834359233889_2d5e974</t>
  </si>
  <si>
    <t>{"__tenant_id__":"fake","_hid":"commerce-nmqv3-console-nmqv3worker-59786bdfb-hxdpg","_lt":"Common","_lvl":"Information","_msg":"2024-03-18T10:13:53.5148619Z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53.5149009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53.514955495Z"}</t>
  </si>
  <si>
    <t>{"time":"2024-03-18T10:13:53.514955495Z","stream":"stdout","_ts":"2024-03-18T10:13:53.5149009Z","_msg":"2024-03-18T10:13:53.5148619Z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</si>
  <si>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1710756833514955495</t>
  </si>
  <si>
    <t>1710756833514955495_68e7502c</t>
  </si>
  <si>
    <t>{"__tenant_id__":"fake","_hid":"commerce-nmqv3-console-nmqv3worker-59786bdfb-hxdpg","_lt":"Common","_lvl":"Information","_msg":"2024-03-18T10:13:53.4242959Z [Information] 目標角標序號：86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53.4243794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53.424503842Z"}</t>
  </si>
  <si>
    <t>{"time":"2024-03-18T10:13:53.424503842Z","stream":"stdout","_ts":"2024-03-18T10:13:53.4243794Z","_msg":"2024-03-18T10:13:53.4242959Z [Information] 目標角標序號：86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</si>
  <si>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1710756833424503842</t>
  </si>
  <si>
    <t>1710756833424503842_db85e2bc</t>
  </si>
  <si>
    <t>{"__tenant_id__":"fake","_hid":"commerce-nmqv3-console-nmqv3worker-59786bdfb-hxdpg","_lt":"Common","_lvl":"Information","_msg":"2024-03-18T10:13:52.4244724Z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52.4245096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52.42456386Z"}</t>
  </si>
  <si>
    <t>{"time":"2024-03-18T10:13:52.42456386Z","stream":"stdout","_ts":"2024-03-18T10:13:52.4245096Z","_msg":"2024-03-18T10:13:52.4244724Z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</si>
  <si>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1710756832424563860</t>
  </si>
  <si>
    <t>1710756832424563860_4edc250a</t>
  </si>
  <si>
    <t>{"__tenant_id__":"fake","_hid":"commerce-nmqv3-console-nmqv3worker-59786bdfb-hxdpg","_lt":"Common","_lvl":"Information","_msg":"2024-03-18T10:13:52.3475149Z [Information] 目標角標序號：85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52.3476082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52.34774025Z"}</t>
  </si>
  <si>
    <t>{"time":"2024-03-18T10:13:52.34774025Z","stream":"stdout","_ts":"2024-03-18T10:13:52.3476082Z","_msg":"2024-03-18T10:13:52.3475149Z [Information] 目標角標序號：85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</si>
  <si>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1710756832347740250</t>
  </si>
  <si>
    <t>1710756832347740250_93769ec2</t>
  </si>
  <si>
    <t>{"__tenant_id__":"fake","_hid":"commerce-nmqv3-console-nmqv3worker-59786bdfb-hxdpg","_lt":"Common","_lvl":"Information","_msg":"2024-03-18T10:13:51.4837213Z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51.4838181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51.483870779Z"}</t>
  </si>
  <si>
    <t>{"time":"2024-03-18T10:13:51.483870779Z","stream":"stdout","_ts":"2024-03-18T10:13:51.4838181Z","_msg":"2024-03-18T10:13:51.4837213Z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</si>
  <si>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1710756831483870779</t>
  </si>
  <si>
    <t>1710756831483870779_26bdf0b2</t>
  </si>
  <si>
    <t>{"__tenant_id__":"fake","_hid":"commerce-nmqv3-console-nmqv3worker-59786bdfb-hxdpg","_lt":"Common","_lvl":"Information","_msg":"2024-03-18T10:13:51.4103859Z [Information] 目標角標序號：84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51.4104754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51.41063158Z"}</t>
  </si>
  <si>
    <t>{"time":"2024-03-18T10:13:51.41063158Z","stream":"stdout","_ts":"2024-03-18T10:13:51.4104754Z","_msg":"2024-03-18T10:13:51.4103859Z [Information] 目標角標序號：84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</si>
  <si>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1710756831410631580</t>
  </si>
  <si>
    <t>1710756831410631580_c2da188c</t>
  </si>
  <si>
    <t>{"__tenant_id__":"fake","_hid":"commerce-nmqv3-console-nmqv3worker-59786bdfb-hxdpg","_lt":"Common","_lvl":"Information","_msg":"2024-03-18T10:13:50.6024616Z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50.6024937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50.602555293Z"}</t>
  </si>
  <si>
    <t>{"time":"2024-03-18T10:13:50.602555293Z","stream":"stdout","_ts":"2024-03-18T10:13:50.6024937Z","_msg":"2024-03-18T10:13:50.6024616Z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</si>
  <si>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1710756830602555293</t>
  </si>
  <si>
    <t>1710756830602555293_2e912bf2</t>
  </si>
  <si>
    <t>{"__tenant_id__":"fake","_hid":"commerce-nmqv3-console-nmqv3worker-59786bdfb-hxdpg","_lt":"Common","_lvl":"Information","_msg":"2024-03-18T10:13:50.5043343Z [Information] 目標角標序號：83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50.5044261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50.504560887Z"}</t>
  </si>
  <si>
    <t>{"time":"2024-03-18T10:13:50.504560887Z","stream":"stdout","_ts":"2024-03-18T10:13:50.5044261Z","_msg":"2024-03-18T10:13:50.5043343Z [Information] 目標角標序號：83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</si>
  <si>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1710756830504560887</t>
  </si>
  <si>
    <t>1710756830504560887_b8fe183a</t>
  </si>
  <si>
    <t>{"__tenant_id__":"fake","_hid":"commerce-nmqv3-console-nmqv3worker-59786bdfb-hxdpg","_lt":"Common","_lvl":"Information","_msg":"2024-03-18T10:13:49.5254057Z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49.5254589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49.525501894Z"}</t>
  </si>
  <si>
    <t>{"time":"2024-03-18T10:13:49.525501894Z","stream":"stdout","_ts":"2024-03-18T10:13:49.5254589Z","_msg":"2024-03-18T10:13:49.5254057Z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</si>
  <si>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1710756829525501894</t>
  </si>
  <si>
    <t>1710756829525501894_3c5da494</t>
  </si>
  <si>
    <t>{"__tenant_id__":"fake","_hid":"commerce-nmqv3-console-nmqv3worker-59786bdfb-hxdpg","_lt":"Common","_lvl":"Information","_msg":"2024-03-18T10:13:49.4530568Z [Information] 目標角標序號：82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49.4531416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49.453287116Z"}</t>
  </si>
  <si>
    <t>{"time":"2024-03-18T10:13:49.453287116Z","stream":"stdout","_ts":"2024-03-18T10:13:49.4531416Z","_msg":"2024-03-18T10:13:49.4530568Z [Information] 目標角標序號：82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</si>
  <si>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1710756829453287116</t>
  </si>
  <si>
    <t>1710756829453287116_21a37616</t>
  </si>
  <si>
    <t>{"__tenant_id__":"fake","_hid":"commerce-nmqv3-console-nmqv3worker-59786bdfb-hxdpg","_lt":"Common","_lvl":"Information","_msg":"2024-03-18T10:13:48.6836105Z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48.6837090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48.683750288Z"}</t>
  </si>
  <si>
    <t>{"time":"2024-03-18T10:13:48.683750288Z","stream":"stdout","_ts":"2024-03-18T10:13:48.6837090Z","_msg":"2024-03-18T10:13:48.6836105Z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</si>
  <si>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1710756828683750288</t>
  </si>
  <si>
    <t>1710756828683750288_3d07c48a</t>
  </si>
  <si>
    <t>{"__tenant_id__":"fake","_hid":"commerce-nmqv3-console-nmqv3worker-59786bdfb-hxdpg","_lt":"Common","_lvl":"Information","_msg":"2024-03-18T10:13:48.6000677Z [Information] 目標角標序號：81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48.6001771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48.60034586Z"}</t>
  </si>
  <si>
    <t>{"time":"2024-03-18T10:13:48.60034586Z","stream":"stdout","_ts":"2024-03-18T10:13:48.6001771Z","_msg":"2024-03-18T10:13:48.6000677Z [Information] 目標角標序號：81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</si>
  <si>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1710756828600345860</t>
  </si>
  <si>
    <t>1710756828600345860_73d4f410</t>
  </si>
  <si>
    <t>{"__tenant_id__":"fake","_hid":"commerce-nmqv3-console-nmqv3worker-59786bdfb-hxdpg","_lt":"Common","_lvl":"Information","_msg":"2024-03-18T10:13:47.8277368Z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47.8277733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47.827836648Z"}</t>
  </si>
  <si>
    <t>{"time":"2024-03-18T10:13:47.827836648Z","stream":"stdout","_ts":"2024-03-18T10:13:47.8277733Z","_msg":"2024-03-18T10:13:47.8277368Z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</si>
  <si>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1710756827827836648</t>
  </si>
  <si>
    <t>1710756827827836648_8e881434</t>
  </si>
  <si>
    <t>{"__tenant_id__":"fake","_hid":"commerce-nmqv3-console-nmqv3worker-59786bdfb-hxdpg","_lt":"Common","_lvl":"Information","_msg":"2024-03-18T10:13:47.7339894Z [Information] 目標角標序號：80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47.7340927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47.734251951Z"}</t>
  </si>
  <si>
    <t>{"time":"2024-03-18T10:13:47.734251951Z","stream":"stdout","_ts":"2024-03-18T10:13:47.7340927Z","_msg":"2024-03-18T10:13:47.7339894Z [Information] 目標角標序號：80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</si>
  <si>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1710756827734251951</t>
  </si>
  <si>
    <t>1710756827734251951_a11da3ce</t>
  </si>
  <si>
    <t>{"__tenant_id__":"fake","_hid":"commerce-nmqv3-console-nmqv3worker-59786bdfb-hxdpg","_lt":"Common","_lvl":"Information","_msg":"2024-03-18T10:13:46.7312088Z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46.7312545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46.731314385Z"}</t>
  </si>
  <si>
    <t>{"time":"2024-03-18T10:13:46.731314385Z","stream":"stdout","_ts":"2024-03-18T10:13:46.7312545Z","_msg":"2024-03-18T10:13:46.7312088Z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</si>
  <si>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1710756826731314385</t>
  </si>
  <si>
    <t>1710756826731314385_697eb0ce</t>
  </si>
  <si>
    <t>{"__tenant_id__":"fake","_hid":"commerce-nmqv3-console-nmqv3worker-59786bdfb-hxdpg","_lt":"Common","_lvl":"Information","_msg":"2024-03-18T10:13:46.6561050Z [Information] 目標角標序號：79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46.6561952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46.656351789Z"}</t>
  </si>
  <si>
    <t>{"time":"2024-03-18T10:13:46.656351789Z","stream":"stdout","_ts":"2024-03-18T10:13:46.6561952Z","_msg":"2024-03-18T10:13:46.6561050Z [Information] 目標角標序號：79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</si>
  <si>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1710756826656351789</t>
  </si>
  <si>
    <t>1710756826656351789_6384596e</t>
  </si>
  <si>
    <t>{"__tenant_id__":"fake","_hid":"commerce-nmqv3-console-nmqv3worker-59786bdfb-hxdpg","_lt":"Common","_lvl":"Information","_msg":"2024-03-18T10:13:45.5878387Z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45.5878703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45.587939159Z"}</t>
  </si>
  <si>
    <t>{"time":"2024-03-18T10:13:45.587939159Z","stream":"stdout","_ts":"2024-03-18T10:13:45.5878703Z","_msg":"2024-03-18T10:13:45.5878387Z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</si>
  <si>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1710756825587939159</t>
  </si>
  <si>
    <t>1710756825587939159_defbd512</t>
  </si>
  <si>
    <t>{"__tenant_id__":"fake","_hid":"commerce-nmqv3-console-nmqv3worker-59786bdfb-hxdpg","_lt":"Common","_lvl":"Information","_msg":"2024-03-18T10:13:45.3746319Z [Information] 目標角標序號：78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45.3747179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45.374875472Z"}</t>
  </si>
  <si>
    <t>{"time":"2024-03-18T10:13:45.374875472Z","stream":"stdout","_ts":"2024-03-18T10:13:45.3747179Z","_msg":"2024-03-18T10:13:45.3746319Z [Information] 目標角標序號：78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</si>
  <si>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1710756825374875472</t>
  </si>
  <si>
    <t>1710756825374875472_ed21c56c</t>
  </si>
  <si>
    <t>{"__tenant_id__":"fake","_hid":"commerce-nmqv3-console-nmqv3worker-59786bdfb-hxdpg","_lt":"Common","_lvl":"Information","_msg":"2024-03-18T10:13:44.0692329Z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44.0692669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44.069318209Z"}</t>
  </si>
  <si>
    <t>{"time":"2024-03-18T10:13:44.069318209Z","stream":"stdout","_ts":"2024-03-18T10:13:44.0692669Z","_msg":"2024-03-18T10:13:44.0692329Z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</si>
  <si>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1710756824069318209</t>
  </si>
  <si>
    <t>1710756824069318209_91f4cbb6</t>
  </si>
  <si>
    <t>{"__tenant_id__":"fake","_hid":"commerce-nmqv3-console-nmqv3worker-59786bdfb-hxdpg","_lt":"Common","_lvl":"Information","_msg":"2024-03-18T10:13:43.9964121Z [Information] 目標角標序號：77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43.9965106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43.996683968Z"}</t>
  </si>
  <si>
    <t>{"time":"2024-03-18T10:13:43.996683968Z","stream":"stdout","_ts":"2024-03-18T10:13:43.9965106Z","_msg":"2024-03-18T10:13:43.9964121Z [Information] 目標角標序號：77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</si>
  <si>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1710756823996683968</t>
  </si>
  <si>
    <t>1710756823996683968_6d4e8c2</t>
  </si>
  <si>
    <t>{"__tenant_id__":"fake","_hid":"commerce-nmqv3-console-nmqv3worker-59786bdfb-hxdpg","_lt":"Common","_lvl":"Information","_msg":"2024-03-18T10:13:42.8249211Z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42.8249501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42.825003575Z"}</t>
  </si>
  <si>
    <t>{"time":"2024-03-18T10:13:42.825003575Z","stream":"stdout","_ts":"2024-03-18T10:13:42.8249501Z","_msg":"2024-03-18T10:13:42.8249211Z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</si>
  <si>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1710756822825003575</t>
  </si>
  <si>
    <t>1710756822825003575_93750a3e</t>
  </si>
  <si>
    <t>{"__tenant_id__":"fake","_hid":"commerce-nmqv3-console-nmqv3worker-59786bdfb-hxdpg","_lt":"Common","_lvl":"Information","_msg":"2024-03-18T10:13:42.6682944Z [Information] 目標角標序號：76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42.6684069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42.668573743Z"}</t>
  </si>
  <si>
    <t>{"time":"2024-03-18T10:13:42.668573743Z","stream":"stdout","_ts":"2024-03-18T10:13:42.6684069Z","_msg":"2024-03-18T10:13:42.6682944Z [Information] 目標角標序號：76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</si>
  <si>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1710756822668573743</t>
  </si>
  <si>
    <t>1710756822668573743_a10a808c</t>
  </si>
  <si>
    <t>{"__tenant_id__":"fake","_hid":"commerce-nmqv3-console-nmqv3worker-59786bdfb-hxdpg","_lt":"Common","_lvl":"Information","_msg":"2024-03-18T10:13:41.6634766Z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41.6635043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41.663542641Z"}</t>
  </si>
  <si>
    <t>{"time":"2024-03-18T10:13:41.663542641Z","stream":"stdout","_ts":"2024-03-18T10:13:41.6635043Z","_msg":"2024-03-18T10:13:41.6634766Z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</si>
  <si>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1710756821663542641</t>
  </si>
  <si>
    <t>1710756821663542641_aa3dbd0e</t>
  </si>
  <si>
    <t>{"__tenant_id__":"fake","_hid":"commerce-nmqv3-console-nmqv3worker-59786bdfb-hxdpg","_lt":"Common","_lvl":"Information","_msg":"2024-03-18T10:13:41.5595581Z [Information] 目標角標序號：75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41.5596446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41.559764899Z"}</t>
  </si>
  <si>
    <t>{"time":"2024-03-18T10:13:41.559764899Z","stream":"stdout","_ts":"2024-03-18T10:13:41.5596446Z","_msg":"2024-03-18T10:13:41.5595581Z [Information] 目標角標序號：75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</si>
  <si>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1710756821559764899</t>
  </si>
  <si>
    <t>1710756821559764899_213c8420</t>
  </si>
  <si>
    <t>{"__tenant_id__":"fake","_hid":"commerce-nmqv3-console-nmqv3worker-59786bdfb-hxdpg","_lt":"Common","_lvl":"Information","_msg":"2024-03-18T10:13:40.2847748Z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40.2848087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40.284850422Z"}</t>
  </si>
  <si>
    <t>{"time":"2024-03-18T10:13:40.284850422Z","stream":"stdout","_ts":"2024-03-18T10:13:40.2848087Z","_msg":"2024-03-18T10:13:40.2847748Z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</si>
  <si>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1710756820284850422</t>
  </si>
  <si>
    <t>1710756820284850422_ec0b8066</t>
  </si>
  <si>
    <t>{"__tenant_id__":"fake","_hid":"commerce-nmqv3-console-nmqv3worker-59786bdfb-hxdpg","_lt":"Common","_lvl":"Information","_msg":"2024-03-18T10:13:40.1951095Z [Information] 目標角標序號：74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40.1952010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40.195367358Z"}</t>
  </si>
  <si>
    <t>{"time":"2024-03-18T10:13:40.195367358Z","stream":"stdout","_ts":"2024-03-18T10:13:40.1952010Z","_msg":"2024-03-18T10:13:40.1951095Z [Information] 目標角標序號：74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</si>
  <si>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1710756820195367358</t>
  </si>
  <si>
    <t>1710756820195367358_92e6e754</t>
  </si>
  <si>
    <t>{"__tenant_id__":"fake","_hid":"commerce-nmqv3-console-nmqv3worker-59786bdfb-hxdpg","_lt":"Common","_lvl":"Information","_msg":"2024-03-18T10:13:38.9201281Z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38.9201778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38.920229578Z"}</t>
  </si>
  <si>
    <t>{"time":"2024-03-18T10:13:38.920229578Z","stream":"stdout","_ts":"2024-03-18T10:13:38.9201778Z","_msg":"2024-03-18T10:13:38.9201281Z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</si>
  <si>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1710756818920229578</t>
  </si>
  <si>
    <t>1710756818920229578_885c63ee</t>
  </si>
  <si>
    <t>{"__tenant_id__":"fake","_hid":"commerce-nmqv3-console-nmqv3worker-59786bdfb-hxdpg","_lt":"Common","_lvl":"Information","_msg":"2024-03-18T10:13:38.6739482Z [Information] 目標角標序號：73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38.6740436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38.674198749Z"}</t>
  </si>
  <si>
    <t>{"time":"2024-03-18T10:13:38.674198749Z","stream":"stdout","_ts":"2024-03-18T10:13:38.6740436Z","_msg":"2024-03-18T10:13:38.6739482Z [Information] 目標角標序號：73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</si>
  <si>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1710756818674198749</t>
  </si>
  <si>
    <t>1710756818674198749_9e794f16</t>
  </si>
  <si>
    <t>{"__tenant_id__":"fake","_hid":"commerce-nmqv3-console-nmqv3worker-59786bdfb-hxdpg","_lt":"Common","_lvl":"Information","_msg":"2024-03-18T10:13:37.5118928Z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37.5119288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37.511994354Z"}</t>
  </si>
  <si>
    <t>{"time":"2024-03-18T10:13:37.511994354Z","stream":"stdout","_ts":"2024-03-18T10:13:37.5119288Z","_msg":"2024-03-18T10:13:37.5118928Z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</si>
  <si>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1710756817511994354</t>
  </si>
  <si>
    <t>1710756817511994354_eaeecc3c</t>
  </si>
  <si>
    <t>{"__tenant_id__":"fake","_hid":"commerce-nmqv3-console-nmqv3worker-59786bdfb-hxdpg","_lt":"Common","_lvl":"Information","_msg":"2024-03-18T10:13:37.4411291Z [Information] 目標角標序號：72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37.4412609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37.441402819Z"}</t>
  </si>
  <si>
    <t>{"time":"2024-03-18T10:13:37.441402819Z","stream":"stdout","_ts":"2024-03-18T10:13:37.4412609Z","_msg":"2024-03-18T10:13:37.4411291Z [Information] 目標角標序號：72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</si>
  <si>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1710756817441402819</t>
  </si>
  <si>
    <t>1710756817441402819_f2ae43ac</t>
  </si>
  <si>
    <t>{"__tenant_id__":"fake","_hid":"commerce-nmqv3-console-nmqv3worker-59786bdfb-hxdpg","_lt":"Common","_lvl":"Information","_msg":"2024-03-18T10:13:36.6464073Z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36.6464440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36.646495514Z"}</t>
  </si>
  <si>
    <t>{"time":"2024-03-18T10:13:36.646495514Z","stream":"stdout","_ts":"2024-03-18T10:13:36.6464440Z","_msg":"2024-03-18T10:13:36.6464073Z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</si>
  <si>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1710756816646495514</t>
  </si>
  <si>
    <t>1710756816646495514_5a284ac6</t>
  </si>
  <si>
    <t>{"__tenant_id__":"fake","_hid":"commerce-nmqv3-console-nmqv3worker-59786bdfb-hxdpg","_lt":"Common","_lvl":"Information","_msg":"2024-03-18T10:13:36.5661127Z [Information] 目標角標序號：71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36.5662260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36.566383984Z"}</t>
  </si>
  <si>
    <t>{"time":"2024-03-18T10:13:36.566383984Z","stream":"stdout","_ts":"2024-03-18T10:13:36.5662260Z","_msg":"2024-03-18T10:13:36.5661127Z [Information] 目標角標序號：71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</si>
  <si>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1710756816566383984</t>
  </si>
  <si>
    <t>1710756816566383984_8b03ac40</t>
  </si>
  <si>
    <t>{"__tenant_id__":"fake","_hid":"commerce-nmqv3-console-nmqv3worker-59786bdfb-hxdpg","_lt":"Common","_lvl":"Information","_msg":"2024-03-18T10:13:35.7741511Z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35.7742468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35.774287118Z"}</t>
  </si>
  <si>
    <t>{"time":"2024-03-18T10:13:35.774287118Z","stream":"stdout","_ts":"2024-03-18T10:13:35.7742468Z","_msg":"2024-03-18T10:13:35.7741511Z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</si>
  <si>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1710756815774287118</t>
  </si>
  <si>
    <t>1710756815774287118_992aaccc</t>
  </si>
  <si>
    <t>{"__tenant_id__":"fake","_hid":"commerce-nmqv3-console-nmqv3worker-59786bdfb-hxdpg","_lt":"Common","_lvl":"Information","_msg":"2024-03-18T10:13:35.6976173Z [Information] 目標角標序號：70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35.6977142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35.697849313Z"}</t>
  </si>
  <si>
    <t>{"time":"2024-03-18T10:13:35.697849313Z","stream":"stdout","_ts":"2024-03-18T10:13:35.6977142Z","_msg":"2024-03-18T10:13:35.6976173Z [Information] 目標角標序號：70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</si>
  <si>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1710756815697849313</t>
  </si>
  <si>
    <t>1710756815697849313_270bb8e4</t>
  </si>
  <si>
    <t>{"__tenant_id__":"fake","_hid":"commerce-nmqv3-console-nmqv3worker-59786bdfb-hxdpg","_lt":"Common","_lvl":"Information","_msg":"2024-03-18T10:13:34.8500775Z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34.8501150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34.850189135Z"}</t>
  </si>
  <si>
    <t>{"time":"2024-03-18T10:13:34.850189135Z","stream":"stdout","_ts":"2024-03-18T10:13:34.8501150Z","_msg":"2024-03-18T10:13:34.8500775Z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</si>
  <si>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1710756814850189135</t>
  </si>
  <si>
    <t>1710756814850189135_2cb1041e</t>
  </si>
  <si>
    <t>{"__tenant_id__":"fake","_hid":"commerce-nmqv3-console-nmqv3worker-59786bdfb-hxdpg","_lt":"Common","_lvl":"Information","_msg":"2024-03-18T10:13:34.7749826Z [Information] 目標角標序號：69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34.7750911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34.775240131Z"}</t>
  </si>
  <si>
    <t>{"time":"2024-03-18T10:13:34.775240131Z","stream":"stdout","_ts":"2024-03-18T10:13:34.7750911Z","_msg":"2024-03-18T10:13:34.7749826Z [Information] 目標角標序號：69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</si>
  <si>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1710756814775240131</t>
  </si>
  <si>
    <t>1710756814775240131_b28175da</t>
  </si>
  <si>
    <t>{"__tenant_id__":"fake","_hid":"commerce-nmqv3-console-nmqv3worker-59786bdfb-hxdpg","_lt":"Common","_lvl":"Information","_msg":"2024-03-18T10:13:33.9249550Z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33.9250474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33.925103489Z"}</t>
  </si>
  <si>
    <t>{"time":"2024-03-18T10:13:33.925103489Z","stream":"stdout","_ts":"2024-03-18T10:13:33.9250474Z","_msg":"2024-03-18T10:13:33.9249550Z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</si>
  <si>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1710756813925103489</t>
  </si>
  <si>
    <t>1710756813925103489_58fbd4ca</t>
  </si>
  <si>
    <t>{"__tenant_id__":"fake","_hid":"commerce-nmqv3-console-nmqv3worker-59786bdfb-hxdpg","_lt":"Common","_lvl":"Information","_msg":"2024-03-18T10:13:33.8496170Z [Information] 目標角標序號：68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33.8497224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33.849880067Z"}</t>
  </si>
  <si>
    <t>{"time":"2024-03-18T10:13:33.849880067Z","stream":"stdout","_ts":"2024-03-18T10:13:33.8497224Z","_msg":"2024-03-18T10:13:33.8496170Z [Information] 目標角標序號：68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</si>
  <si>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1710756813849880067</t>
  </si>
  <si>
    <t>1710756813849880067_b66bf492</t>
  </si>
  <si>
    <t>{"__tenant_id__":"fake","_hid":"commerce-nmqv3-console-nmqv3worker-59786bdfb-hxdpg","_lt":"Common","_lvl":"Information","_msg":"2024-03-18T10:13:32.8968297Z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32.8968606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32.896934192Z"}</t>
  </si>
  <si>
    <t>{"time":"2024-03-18T10:13:32.896934192Z","stream":"stdout","_ts":"2024-03-18T10:13:32.8968606Z","_msg":"2024-03-18T10:13:32.8968297Z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</si>
  <si>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1710756812896934192</t>
  </si>
  <si>
    <t>1710756812896934192_7c9c847e</t>
  </si>
  <si>
    <t>{"__tenant_id__":"fake","_hid":"commerce-nmqv3-console-nmqv3worker-59786bdfb-hxdpg","_lt":"Common","_lvl":"Information","_msg":"2024-03-18T10:13:32.8108268Z [Information] 目標角標序號：67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32.8335175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32.833679465Z"}</t>
  </si>
  <si>
    <t>{"time":"2024-03-18T10:13:32.833679465Z","stream":"stdout","_ts":"2024-03-18T10:13:32.8335175Z","_msg":"2024-03-18T10:13:32.8108268Z [Information] 目標角標序號：67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</si>
  <si>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1710756812833679465</t>
  </si>
  <si>
    <t>1710756812833679465_c3715544</t>
  </si>
  <si>
    <t>{"__tenant_id__":"fake","_hid":"commerce-nmqv3-console-nmqv3worker-59786bdfb-hxdpg","_lt":"Common","_lvl":"Information","_msg":"2024-03-18T10:13:31.7722192Z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31.7723023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31.772337411Z"}</t>
  </si>
  <si>
    <t>{"time":"2024-03-18T10:13:31.772337411Z","stream":"stdout","_ts":"2024-03-18T10:13:31.7723023Z","_msg":"2024-03-18T10:13:31.7722192Z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</si>
  <si>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1710756811772337411</t>
  </si>
  <si>
    <t>1710756811772337411_be343694</t>
  </si>
  <si>
    <t>{"__tenant_id__":"fake","_hid":"commerce-nmqv3-console-nmqv3worker-59786bdfb-hxdpg","_lt":"Common","_lvl":"Information","_msg":"2024-03-18T10:13:31.6848877Z [Information] 目標角標序號：66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31.6849969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31.685150774Z"}</t>
  </si>
  <si>
    <t>{"time":"2024-03-18T10:13:31.685150774Z","stream":"stdout","_ts":"2024-03-18T10:13:31.6849969Z","_msg":"2024-03-18T10:13:31.6848877Z [Information] 目標角標序號：66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</si>
  <si>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1710756811685150774</t>
  </si>
  <si>
    <t>1710756811685150774_dbae7b4</t>
  </si>
  <si>
    <t>{"__tenant_id__":"fake","_hid":"commerce-nmqv3-console-nmqv3worker-59786bdfb-hxdpg","_lt":"Common","_lvl":"Information","_msg":"2024-03-18T10:13:30.7272240Z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30.7272567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30.727311698Z"}</t>
  </si>
  <si>
    <t>{"time":"2024-03-18T10:13:30.727311698Z","stream":"stdout","_ts":"2024-03-18T10:13:30.7272567Z","_msg":"2024-03-18T10:13:30.7272240Z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</si>
  <si>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1710756810727311698</t>
  </si>
  <si>
    <t>1710756810727311698_8eba5f32</t>
  </si>
  <si>
    <t>{"__tenant_id__":"fake","_hid":"commerce-nmqv3-console-nmqv3worker-59786bdfb-hxdpg","_lt":"Common","_lvl":"Information","_msg":"2024-03-18T10:13:30.6491330Z [Information] 目標角標序號：65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30.6492341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30.649383919Z"}</t>
  </si>
  <si>
    <t>{"time":"2024-03-18T10:13:30.649383919Z","stream":"stdout","_ts":"2024-03-18T10:13:30.6492341Z","_msg":"2024-03-18T10:13:30.6491330Z [Information] 目標角標序號：65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</si>
  <si>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1710756810649383919</t>
  </si>
  <si>
    <t>1710756810649383919_e9cae51a</t>
  </si>
  <si>
    <t>{"__tenant_id__":"fake","_hid":"commerce-nmqv3-console-nmqv3worker-59786bdfb-hxdpg","_lt":"Common","_lvl":"Information","_msg":"2024-03-18T10:13:29.7466650Z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29.7466998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29.746741296Z"}</t>
  </si>
  <si>
    <t>{"time":"2024-03-18T10:13:29.746741296Z","stream":"stdout","_ts":"2024-03-18T10:13:29.7466998Z","_msg":"2024-03-18T10:13:29.7466650Z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</si>
  <si>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1710756809746741296</t>
  </si>
  <si>
    <t>1710756809746741296_4208f500</t>
  </si>
  <si>
    <t>{"__tenant_id__":"fake","_hid":"commerce-nmqv3-console-nmqv3worker-59786bdfb-hxdpg","_lt":"Common","_lvl":"Information","_msg":"2024-03-18T10:13:29.6547230Z [Information] 目標角標序號：64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29.6548297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29.655002362Z"}</t>
  </si>
  <si>
    <t>{"time":"2024-03-18T10:13:29.655002362Z","stream":"stdout","_ts":"2024-03-18T10:13:29.6548297Z","_msg":"2024-03-18T10:13:29.6547230Z [Information] 目標角標序號：64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</si>
  <si>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1710756809655002362</t>
  </si>
  <si>
    <t>1710756809655002362_8eb5cb7c</t>
  </si>
  <si>
    <t>{"__tenant_id__":"fake","_hid":"commerce-nmqv3-console-nmqv3worker-59786bdfb-hxdpg","_lt":"Common","_lvl":"Information","_msg":"2024-03-18T10:13:28.8200812Z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28.8201708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28.820268165Z"}</t>
  </si>
  <si>
    <t>{"time":"2024-03-18T10:13:28.820268165Z","stream":"stdout","_ts":"2024-03-18T10:13:28.8201708Z","_msg":"2024-03-18T10:13:28.8200812Z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</si>
  <si>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1710756808820268165</t>
  </si>
  <si>
    <t>1710756808820268165_48b1c686</t>
  </si>
  <si>
    <t>{"__tenant_id__":"fake","_hid":"commerce-nmqv3-console-nmqv3worker-59786bdfb-hxdpg","_lt":"Common","_lvl":"Information","_msg":"2024-03-18T10:13:28.7377430Z [Information] 目標角標序號：63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28.7378713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28.738023637Z"}</t>
  </si>
  <si>
    <t>{"time":"2024-03-18T10:13:28.738023637Z","stream":"stdout","_ts":"2024-03-18T10:13:28.7378713Z","_msg":"2024-03-18T10:13:28.7377430Z [Information] 目標角標序號：63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</si>
  <si>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1710756808738023637</t>
  </si>
  <si>
    <t>1710756808738023637_c28c6f9a</t>
  </si>
  <si>
    <t>{"__tenant_id__":"fake","_hid":"commerce-nmqv3-console-nmqv3worker-59786bdfb-hxdpg","_lt":"Common","_lvl":"Information","_msg":"2024-03-18T10:13:27.8504282Z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27.8504645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27.850513656Z"}</t>
  </si>
  <si>
    <t>{"time":"2024-03-18T10:13:27.850513656Z","stream":"stdout","_ts":"2024-03-18T10:13:27.8504645Z","_msg":"2024-03-18T10:13:27.8504282Z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</si>
  <si>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1710756807850513656</t>
  </si>
  <si>
    <t>1710756807850513656_7f61df08</t>
  </si>
  <si>
    <t>{"__tenant_id__":"fake","_hid":"commerce-nmqv3-console-nmqv3worker-59786bdfb-hxdpg","_lt":"Common","_lvl":"Information","_msg":"2024-03-18T10:13:27.7737441Z [Information] 目標角標序號：62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27.7738540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27.773992294Z"}</t>
  </si>
  <si>
    <t>{"time":"2024-03-18T10:13:27.773992294Z","stream":"stdout","_ts":"2024-03-18T10:13:27.7738540Z","_msg":"2024-03-18T10:13:27.7737441Z [Information] 目標角標序號：62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</si>
  <si>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1710756807773992294</t>
  </si>
  <si>
    <t>1710756807773992294_85bb9248</t>
  </si>
  <si>
    <t>{"__tenant_id__":"fake","_hid":"commerce-nmqv3-console-nmqv3worker-59786bdfb-hxdpg","_lt":"Common","_lvl":"Information","_msg":"2024-03-18T10:13:26.8762004Z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26.8762285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26.876303285Z"}</t>
  </si>
  <si>
    <t>{"time":"2024-03-18T10:13:26.876303285Z","stream":"stdout","_ts":"2024-03-18T10:13:26.8762285Z","_msg":"2024-03-18T10:13:26.8762004Z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</si>
  <si>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1710756806876303285</t>
  </si>
  <si>
    <t>1710756806876303285_bcbff32a</t>
  </si>
  <si>
    <t>{"__tenant_id__":"fake","_hid":"commerce-nmqv3-console-nmqv3worker-59786bdfb-hxdpg","_lt":"Common","_lvl":"Information","_msg":"2024-03-18T10:13:26.8022108Z [Information] 目標角標序號：61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26.8023304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26.802490544Z"}</t>
  </si>
  <si>
    <t>{"time":"2024-03-18T10:13:26.802490544Z","stream":"stdout","_ts":"2024-03-18T10:13:26.8023304Z","_msg":"2024-03-18T10:13:26.8022108Z [Information] 目標角標序號：61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</si>
  <si>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1710756806802490544</t>
  </si>
  <si>
    <t>1710756806802490544_6f672a20</t>
  </si>
  <si>
    <t>{"__tenant_id__":"fake","_hid":"commerce-nmqv3-console-nmqv3worker-59786bdfb-hxdpg","_lt":"Common","_lvl":"Information","_msg":"2024-03-18T10:13:25.7340741Z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25.7341932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25.734241091Z"}</t>
  </si>
  <si>
    <t>{"time":"2024-03-18T10:13:25.734241091Z","stream":"stdout","_ts":"2024-03-18T10:13:25.7341932Z","_msg":"2024-03-18T10:13:25.7340741Z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</si>
  <si>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1710756805734241091</t>
  </si>
  <si>
    <t>1710756805734241091_b08a299a</t>
  </si>
  <si>
    <t>{"__tenant_id__":"fake","_hid":"commerce-nmqv3-console-nmqv3worker-59786bdfb-hxdpg","_lt":"Common","_lvl":"Information","_msg":"2024-03-18T10:13:24.9155084Z [Information] 目標角標序號：60，unapplyTag執行完成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24.9156651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24.915797419Z"}</t>
  </si>
  <si>
    <t>{"time":"2024-03-18T10:13:24.915797419Z","stream":"stdout","_ts":"2024-03-18T10:13:24.9156651Z","_msg":"2024-03-18T10:13:24.9155084Z [Information] 目標角標序號：60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</si>
  <si>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1710756804915797419</t>
  </si>
  <si>
    <t>1710756804915797419_f32494da</t>
  </si>
  <si>
    <t>{"__tenant_id__":"fake","_hid":"commerce-nmqv3-console-nmqv3worker-59786bdfb-hxdpg","_lt":"Common","_lvl":"Information","_msg":"2024-03-18T10:13:23.2630632Z [Information] 即將進行解綁作業...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23.2632758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23.263350646Z"}</t>
  </si>
  <si>
    <t>{"time":"2024-03-18T10:13:23.263350646Z","stream":"stdout","_ts":"2024-03-18T10:13:23.2632758Z","_msg":"2024-03-18T10:13:23.2630632Z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</si>
  <si>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1710756803263350646</t>
  </si>
  <si>
    <t>1710756803263350646_d6642c5e</t>
  </si>
  <si>
    <t>{"time":"2024-03-18T10:14:07.467414573Z","stream":"stdout","_ts":"2024-03-18T10:14:07.4672490Z","_msg":"2024-03-18T10:14:07.4671590Z [Information] 目標角標序號：100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  <phoneticPr fontId="18" type="noConversion"/>
  </si>
  <si>
    <t>{"time":"2024-03-18T10:14:06.470150044Z","stream":"stdout","_ts":"2024-03-18T10:14:06.4700990Z","_msg":"2024-03-18T10:14:06.4700543Z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  <phoneticPr fontId="18" type="noConversion"/>
  </si>
  <si>
    <t>{"time":"2024-03-18T10:14:04.571317535Z","stream":"stdout","_ts":"2024-03-18T10:14:04.5712806Z","_msg":"2024-03-18T10:14:04.5711651Z [Information] 即將進行解綁作業...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  <phoneticPr fontId="18" type="noConversion"/>
  </si>
  <si>
    <t>{"time":"2024-03-18T10:14:05.402081433Z","stream":"stdout","_ts":"2024-03-18T10:14:05.4019128Z","_msg":"2024-03-18T10:14:05.4018237Z [Information] 目標角標序號：98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  <phoneticPr fontId="18" type="noConversion"/>
  </si>
  <si>
    <t>Line</t>
    <phoneticPr fontId="18" type="noConversion"/>
  </si>
  <si>
    <t>{"time":"2024-03-18T10:14:06.393763977Z","stream":"stdout","_ts":"2024-03-18T10:14:06.3936078Z","_msg":"2024-03-18T10:14:06.3935201Z [Information] 目標角標序號：99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  <phoneticPr fontId="18" type="noConversion"/>
  </si>
  <si>
    <t>2024-03-18T10:14:06.470</t>
  </si>
  <si>
    <t>2024-03-18T10:14:06.393</t>
  </si>
  <si>
    <t>2024-03-18T10:14:05.469</t>
  </si>
  <si>
    <t>2024-03-18T10:14:05.402</t>
  </si>
  <si>
    <t>2024-03-18T10:14:04.571</t>
  </si>
  <si>
    <t>2024-03-18T10:14:04.489</t>
  </si>
  <si>
    <t>2024-03-18T10:14:03.581</t>
  </si>
  <si>
    <t>2024-03-18T10:14:03.509</t>
  </si>
  <si>
    <t>2024-03-18T10:14:02.563</t>
  </si>
  <si>
    <t>2024-03-18T10:14:02.489</t>
  </si>
  <si>
    <t>2024-03-18T10:14:01.410</t>
  </si>
  <si>
    <t>2024-03-18T10:14:01.301</t>
  </si>
  <si>
    <t>2024-03-18T10:14:00.276</t>
  </si>
  <si>
    <t>2024-03-18T10:14:00.197</t>
  </si>
  <si>
    <t>2024-03-18T10:13:59.282</t>
  </si>
  <si>
    <t>2024-03-18T10:13:59.193</t>
  </si>
  <si>
    <t>2024-03-18T10:13:58.192</t>
  </si>
  <si>
    <t>2024-03-18T10:13:58.093</t>
  </si>
  <si>
    <t>2024-03-18T10:13:57.140</t>
  </si>
  <si>
    <t>2024-03-18T10:13:57.066</t>
  </si>
  <si>
    <t>2024-03-18T10:13:56.123</t>
  </si>
  <si>
    <t>2024-03-18T10:13:56.052</t>
  </si>
  <si>
    <t>2024-03-18T10:13:55.131</t>
  </si>
  <si>
    <t>2024-03-18T10:13:54.359</t>
  </si>
  <si>
    <t>2024-03-18T10:13:53.514</t>
  </si>
  <si>
    <t>2024-03-18T10:13:53.424</t>
  </si>
  <si>
    <t>2024-03-18T10:13:52.424</t>
  </si>
  <si>
    <t>2024-03-18T10:13:52.347</t>
  </si>
  <si>
    <t>2024-03-18T10:13:51.483</t>
  </si>
  <si>
    <t>2024-03-18T10:13:51.410</t>
  </si>
  <si>
    <t>2024-03-18T10:13:50.602</t>
  </si>
  <si>
    <t>2024-03-18T10:13:50.504</t>
  </si>
  <si>
    <t>2024-03-18T10:13:49.525</t>
  </si>
  <si>
    <t>2024-03-18T10:13:49.453</t>
  </si>
  <si>
    <t>2024-03-18T10:13:48.683</t>
  </si>
  <si>
    <t>2024-03-18T10:13:48.600</t>
  </si>
  <si>
    <t>2024-03-18T10:13:47.827</t>
  </si>
  <si>
    <t>2024-03-18T10:13:47.734</t>
  </si>
  <si>
    <t>2024-03-18T10:13:46.731</t>
  </si>
  <si>
    <t>2024-03-18T10:13:46.656</t>
  </si>
  <si>
    <t>2024-03-18T10:13:45.587</t>
  </si>
  <si>
    <t>2024-03-18T10:13:45.374</t>
  </si>
  <si>
    <t>2024-03-18T10:13:44.069</t>
  </si>
  <si>
    <t>2024-03-18T10:13:43.996</t>
  </si>
  <si>
    <t>2024-03-18T10:13:42.825</t>
  </si>
  <si>
    <t>2024-03-18T10:13:42.668</t>
  </si>
  <si>
    <t>2024-03-18T10:13:41.663</t>
  </si>
  <si>
    <t>2024-03-18T10:13:41.559</t>
  </si>
  <si>
    <t>2024-03-18T10:13:40.284</t>
  </si>
  <si>
    <t>2024-03-18T10:13:40.195</t>
  </si>
  <si>
    <t>2024-03-18T10:13:38.920</t>
  </si>
  <si>
    <t>2024-03-18T10:13:38.674</t>
  </si>
  <si>
    <t>2024-03-18T10:13:37.511</t>
  </si>
  <si>
    <t>2024-03-18T10:13:37.441</t>
  </si>
  <si>
    <t>2024-03-18T10:13:36.646</t>
  </si>
  <si>
    <t>2024-03-18T10:13:36.566</t>
  </si>
  <si>
    <t>2024-03-18T10:13:35.774</t>
  </si>
  <si>
    <t>2024-03-18T10:13:35.697</t>
  </si>
  <si>
    <t>2024-03-18T10:13:34.850</t>
  </si>
  <si>
    <t>2024-03-18T10:13:34.775</t>
  </si>
  <si>
    <t>2024-03-18T10:13:33.925</t>
  </si>
  <si>
    <t>2024-03-18T10:13:33.849</t>
  </si>
  <si>
    <t>2024-03-18T10:13:32.896</t>
  </si>
  <si>
    <t>2024-03-18T10:13:32.833</t>
  </si>
  <si>
    <t>2024-03-18T10:13:31.772</t>
  </si>
  <si>
    <t>2024-03-18T10:13:31.685</t>
  </si>
  <si>
    <t>2024-03-18T10:13:30.727</t>
  </si>
  <si>
    <t>2024-03-18T10:13:30.649</t>
  </si>
  <si>
    <t>2024-03-18T10:13:29.746</t>
  </si>
  <si>
    <t>2024-03-18T10:13:29.655</t>
  </si>
  <si>
    <t>2024-03-18T10:13:28.820</t>
  </si>
  <si>
    <t>2024-03-18T10:13:28.738</t>
  </si>
  <si>
    <t>2024-03-18T10:13:27.850</t>
  </si>
  <si>
    <t>2024-03-18T10:13:27.773</t>
  </si>
  <si>
    <t>2024-03-18T10:13:26.876</t>
  </si>
  <si>
    <t>2024-03-18T10:13:26.802</t>
  </si>
  <si>
    <t>2024-03-18T10:13:25.734</t>
  </si>
  <si>
    <t>2024-03-18T10:13:24.915</t>
  </si>
  <si>
    <t>2024-03-18T10:13:23.263</t>
  </si>
  <si>
    <t>2024-03-18T10:14:07.467</t>
    <phoneticPr fontId="18" type="noConversion"/>
  </si>
  <si>
    <t>10:13:55.131</t>
  </si>
  <si>
    <t>10:13:54.359</t>
  </si>
  <si>
    <t>10:13:53.514</t>
  </si>
  <si>
    <t>10:13:53.424</t>
  </si>
  <si>
    <t>10:13:52.424</t>
  </si>
  <si>
    <t>10:13:52.347</t>
  </si>
  <si>
    <t>10:13:51.483</t>
  </si>
  <si>
    <t>10:13:51.410</t>
  </si>
  <si>
    <t>10:13:50.602</t>
  </si>
  <si>
    <t>10:13:50.504</t>
  </si>
  <si>
    <t>10:13:49.525</t>
  </si>
  <si>
    <t>10:13:49.453</t>
  </si>
  <si>
    <t>10:13:48.683</t>
  </si>
  <si>
    <t>10:13:48.600</t>
  </si>
  <si>
    <t>10:13:47.827</t>
  </si>
  <si>
    <t>10:13:47.734</t>
  </si>
  <si>
    <t>10:13:46.731</t>
  </si>
  <si>
    <t>10:13:46.656</t>
  </si>
  <si>
    <t>10:13:45.587</t>
  </si>
  <si>
    <t>10:13:45.374</t>
  </si>
  <si>
    <t>10:13:44.069</t>
  </si>
  <si>
    <t>10:13:43.996</t>
  </si>
  <si>
    <t>10:13:42.825</t>
  </si>
  <si>
    <t>10:13:42.668</t>
  </si>
  <si>
    <t>10:13:41.663</t>
  </si>
  <si>
    <t>10:13:41.559</t>
  </si>
  <si>
    <t>10:13:40.284</t>
  </si>
  <si>
    <t>10:13:40.195</t>
  </si>
  <si>
    <t>10:13:38.920</t>
  </si>
  <si>
    <t>10:13:38.674</t>
  </si>
  <si>
    <t>10:13:37.511</t>
  </si>
  <si>
    <t>10:13:37.441</t>
  </si>
  <si>
    <t>10:13:36.646</t>
  </si>
  <si>
    <t>10:13:36.566</t>
  </si>
  <si>
    <t>10:13:35.774</t>
  </si>
  <si>
    <t>10:13:35.697</t>
  </si>
  <si>
    <t>10:13:34.850</t>
  </si>
  <si>
    <t>10:13:34.775</t>
  </si>
  <si>
    <t>10:13:33.925</t>
  </si>
  <si>
    <t>10:13:33.849</t>
  </si>
  <si>
    <t>10:13:32.896</t>
  </si>
  <si>
    <t>10:13:32.833</t>
  </si>
  <si>
    <t>10:13:31.772</t>
  </si>
  <si>
    <t>10:13:31.685</t>
  </si>
  <si>
    <t>10:13:30.727</t>
  </si>
  <si>
    <t>10:13:30.649</t>
  </si>
  <si>
    <t>10:13:29.746</t>
  </si>
  <si>
    <t>10:13:29.655</t>
  </si>
  <si>
    <t>10:13:28.820</t>
  </si>
  <si>
    <t>10:13:28.738</t>
  </si>
  <si>
    <t>10:13:27.850</t>
  </si>
  <si>
    <t>10:13:27.773</t>
  </si>
  <si>
    <t>10:13:26.876</t>
  </si>
  <si>
    <t>10:13:26.802</t>
  </si>
  <si>
    <t>10:13:25.734</t>
  </si>
  <si>
    <t>10:13:24.915</t>
  </si>
  <si>
    <t>10:13:23.263</t>
  </si>
  <si>
    <t>1710756847467414573</t>
    <phoneticPr fontId="18" type="noConversion"/>
  </si>
  <si>
    <t>UnApplyTimeStamp</t>
    <phoneticPr fontId="18" type="noConversion"/>
  </si>
  <si>
    <t>組別</t>
    <phoneticPr fontId="18" type="noConversion"/>
  </si>
  <si>
    <t>兩兩一組相差值</t>
    <phoneticPr fontId="18" type="noConversion"/>
  </si>
  <si>
    <t>Line</t>
  </si>
  <si>
    <t>{"__tenant_id__":"fake","container":"commerce-nmqv3-console-nmqv3worker","service":"my-qa-commerce-nmqv3"}</t>
  </si>
  <si>
    <t>{"time":"2024-03-18T10:14:06.469706531Z","stream":"stdout","_ts":"2024-03-18T10:14:06.4695444Z","_msg":"2024-03-18T10:14:06.4694717Z [Information] 成功取得角標商品頁列表，ProductBadgeId:100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</si>
  <si>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1710756846469706531_86a94580</t>
  </si>
  <si>
    <t>{"time":"2024-03-18T10:14:06.425403317Z","stream":"stdout","_ts":"2024-03-18T10:14:06.4226919Z","_msg":"2024-03-18T10:14:06.4226175Z [Information] 正在處理角標ID 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</si>
  <si>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1710756846425403317_6239bbc7</t>
  </si>
  <si>
    <t>{"time":"2024-03-18T10:14:05.469041737Z","stream":"stdout","_ts":"2024-03-18T10:14:05.4689070Z","_msg":"2024-03-18T10:14:05.4688325Z [Information] 成功取得角標商品頁列表，ProductBadgeId:99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</si>
  <si>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1710756845469041737_bb052854</t>
  </si>
  <si>
    <t>{"time":"2024-03-18T10:14:05.423769639Z","stream":"stdout","_ts":"2024-03-18T10:14:05.4237239Z","_msg":"2024-03-18T10:14:05.4236448Z [Information] 正在處理角標ID 99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</si>
  <si>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1710756845423769639_7758fc7c</t>
  </si>
  <si>
    <t>{"time":"2024-03-18T10:14:04.570738963Z","stream":"stdout","_ts":"2024-03-18T10:14:04.5706457Z","_msg":"2024-03-18T10:14:04.5705919Z [Information] 成功取得角標商品頁列表，ProductBadgeId:98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</si>
  <si>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1710756844570738963_4be2ad81</t>
  </si>
  <si>
    <t>{"time":"2024-03-18T10:14:04.516657708Z","stream":"stdout","_ts":"2024-03-18T10:14:04.5166281Z","_msg":"2024-03-18T10:14:04.5165651Z [Information] 正在處理角標ID 98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</si>
  <si>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1710756844516657708_90cd36b7</t>
  </si>
  <si>
    <t>{"time":"2024-03-18T10:14:03.581253945Z","stream":"stdout","_ts":"2024-03-18T10:14:03.5811323Z","_msg":"2024-03-18T10:14:03.5810478Z [Information] 成功取得角標商品頁列表，ProductBadgeId:97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</si>
  <si>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1710756843581253945_4df4ef97</t>
  </si>
  <si>
    <t>{"time":"2024-03-18T10:14:03.533601137Z","stream":"stdout","_ts":"2024-03-18T10:14:03.5335675Z","_msg":"2024-03-18T10:14:03.5334890Z [Information] 正在處理角標ID 97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</si>
  <si>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1710756843533601137_874fcc13</t>
  </si>
  <si>
    <t>{"time":"2024-03-18T10:14:02.563438921Z","stream":"stdout","_ts":"2024-03-18T10:14:02.5633319Z","_msg":"2024-03-18T10:14:02.5632557Z [Information] 成功取得角標商品頁列表，ProductBadgeId:96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</si>
  <si>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1710756842563438921_bf15b4ad</t>
  </si>
  <si>
    <t>{"time":"2024-03-18T10:14:02.513143108Z","stream":"stdout","_ts":"2024-03-18T10:14:02.5131103Z","_msg":"2024-03-18T10:14:02.5130446Z [Information] 正在處理角標ID 96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</si>
  <si>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1710756842513143107_e5796dcf</t>
  </si>
  <si>
    <t>{"time":"2024-03-18T10:14:01.410477389Z","stream":"stdout","_ts":"2024-03-18T10:14:01.4103764Z","_msg":"2024-03-18T10:14:01.4102948Z [Information] 成功取得角標商品頁列表，ProductBadgeId:95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</si>
  <si>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1710756841410477389_f4cf5db7</t>
  </si>
  <si>
    <t>{"time":"2024-03-18T10:14:01.32593757Z","stream":"stdout","_ts":"2024-03-18T10:14:01.3259020Z","_msg":"2024-03-18T10:14:01.3258318Z [Information] 正在處理角標ID 95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</si>
  <si>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1710756841325937570_9e1f6084</t>
  </si>
  <si>
    <t>{"time":"2024-03-18T10:14:00.276240352Z","stream":"stdout","_ts":"2024-03-18T10:14:00.2761190Z","_msg":"2024-03-18T10:14:00.2760459Z [Information] 成功取得角標商品頁列表，ProductBadgeId:94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</si>
  <si>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1710756840276240352_3003e25d</t>
  </si>
  <si>
    <t>{"time":"2024-03-18T10:14:00.221399525Z","stream":"stdout","_ts":"2024-03-18T10:14:00.2213642Z","_msg":"2024-03-18T10:14:00.2213211Z [Information] 正在處理角標ID 94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</si>
  <si>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1710756840221399525_72b9741c</t>
  </si>
  <si>
    <t>{"time":"2024-03-18T10:13:59.281856277Z","stream":"stdout","_ts":"2024-03-18T10:13:59.2817524Z","_msg":"2024-03-18T10:13:59.2816744Z [Information] 成功取得角標商品頁列表，ProductBadgeId:93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</si>
  <si>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1710756839281856277_900b6cde</t>
  </si>
  <si>
    <t>{"time":"2024-03-18T10:13:59.220205172Z","stream":"stdout","_ts":"2024-03-18T10:13:59.2201699Z","_msg":"2024-03-18T10:13:59.2200566Z [Information] 正在處理角標ID 93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</si>
  <si>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1710756839220205172_ebd6b669</t>
  </si>
  <si>
    <t>{"time":"2024-03-18T10:13:58.192427273Z","stream":"stdout","_ts":"2024-03-18T10:13:58.1923094Z","_msg":"2024-03-18T10:13:58.1922284Z [Information] 成功取得角標商品頁列表，ProductBadgeId:92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</si>
  <si>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1710756838192427273_2973f6ba</t>
  </si>
  <si>
    <t>{"time":"2024-03-18T10:13:58.133739158Z","stream":"stdout","_ts":"2024-03-18T10:13:58.1336969Z","_msg":"2024-03-18T10:13:58.1335878Z [Information] 正在處理角標ID 92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</si>
  <si>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1710756838133739158_1d85ca1e</t>
  </si>
  <si>
    <t>{"time":"2024-03-18T10:13:57.140147061Z","stream":"stdout","_ts":"2024-03-18T10:13:57.1400636Z","_msg":"2024-03-18T10:13:57.1400123Z [Information] 成功取得角標商品頁列表，ProductBadgeId:91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</si>
  <si>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1710756837140147061_becdf5e0</t>
  </si>
  <si>
    <t>{"time":"2024-03-18T10:13:57.089964382Z","stream":"stdout","_ts":"2024-03-18T10:13:57.0899298Z","_msg":"2024-03-18T10:13:57.0898742Z [Information] 正在處理角標ID 91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</si>
  <si>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1710756837089964382_9ab68500</t>
  </si>
  <si>
    <t>{"time":"2024-03-18T10:13:56.122664408Z","stream":"stdout","_ts":"2024-03-18T10:13:56.1225577Z","_msg":"2024-03-18T10:13:56.1224734Z [Information] 成功取得角標商品頁列表，ProductBadgeId:90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</si>
  <si>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1710756836122664408_9e9a52c4</t>
  </si>
  <si>
    <t>{"time":"2024-03-18T10:13:56.077215544Z","stream":"stdout","_ts":"2024-03-18T10:13:56.0771916Z","_msg":"2024-03-18T10:13:56.0771484Z [Information] 正在處理角標ID 90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</si>
  <si>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1710756836077215544_abb3e653</t>
  </si>
  <si>
    <t>{"time":"2024-03-18T10:13:55.1306902Z","stream":"stdout","_ts":"2024-03-18T10:13:55.1306082Z","_msg":"2024-03-18T10:13:55.1305578Z [Information] 成功取得角標商品頁列表，ProductBadgeId:89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</si>
  <si>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1710756835130690200_45ed42e6</t>
  </si>
  <si>
    <t>{"time":"2024-03-18T10:13:55.073512462Z","stream":"stdout","_ts":"2024-03-18T10:13:55.0734690Z","_msg":"2024-03-18T10:13:55.0734129Z [Information] 正在處理角標ID 89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</si>
  <si>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1710756835073512462_2f355626</t>
  </si>
  <si>
    <t>{"time":"2024-03-18T10:13:55.070564716Z","stream":"stdout","_ts":"2024-03-18T10:13:55.0704791Z","_msg":"2024-03-18T10:13:55.0704061Z [Information] 成功取得角標商品頁列表，ProductBadgeId:88，API回傳數量: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</si>
  <si>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1710756835070564716_a873e08a</t>
  </si>
  <si>
    <t>{"time":"2024-03-18T10:13:55.029520488Z","stream":"stdout","_ts":"2024-03-18T10:13:55.0294372Z","_msg":"2024-03-18T10:13:55.0292696Z [Information] 正在處理角標ID 88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</si>
  <si>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1710756835029520488_a0a71a1</t>
  </si>
  <si>
    <t>{"time":"2024-03-18T10:13:53.514428421Z","stream":"stdout","_ts":"2024-03-18T10:13:53.5143079Z","_msg":"2024-03-18T10:13:53.5142243Z [Information] 成功取得角標商品頁列表，ProductBadgeId:87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</si>
  <si>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1710756833514428420_2b3825d5</t>
  </si>
  <si>
    <t>{"time":"2024-03-18T10:13:53.45982488Z","stream":"stdout","_ts":"2024-03-18T10:13:53.4597553Z","_msg":"2024-03-18T10:13:53.4596209Z [Information] 正在處理角標ID 87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</si>
  <si>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1710756833459824880_c46f463e</t>
  </si>
  <si>
    <t>{"time":"2024-03-18T10:13:52.423954609Z","stream":"stdout","_ts":"2024-03-18T10:13:52.4238237Z","_msg":"2024-03-18T10:13:52.4237509Z [Information] 成功取得角標商品頁列表，ProductBadgeId:86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</si>
  <si>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1710756832423954609_fb7a663</t>
  </si>
  <si>
    <t>{"time":"2024-03-18T10:13:52.374912939Z","stream":"stdout","_ts":"2024-03-18T10:13:52.3748713Z","_msg":"2024-03-18T10:13:52.3748160Z [Information] 正在處理角標ID 86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</si>
  <si>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1710756832374912939_ede3ed4e</t>
  </si>
  <si>
    <t>{"time":"2024-03-18T10:13:51.483294906Z","stream":"stdout","_ts":"2024-03-18T10:13:51.4831584Z","_msg":"2024-03-18T10:13:51.4830648Z [Information] 成功取得角標商品頁列表，ProductBadgeId:85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</si>
  <si>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1710756831483294906_e690e9ff</t>
  </si>
  <si>
    <t>{"time":"2024-03-18T10:13:51.434316097Z","stream":"stdout","_ts":"2024-03-18T10:13:51.4342763Z","_msg":"2024-03-18T10:13:51.4342103Z [Information] 正在處理角標ID 85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</si>
  <si>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1710756831434316097_522b9976</t>
  </si>
  <si>
    <t>{"time":"2024-03-18T10:13:50.602026145Z","stream":"stdout","_ts":"2024-03-18T10:13:50.6018791Z","_msg":"2024-03-18T10:13:50.6017940Z [Information] 成功取得角標商品頁列表，ProductBadgeId:84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</si>
  <si>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1710756830602026145_b6f3da77</t>
  </si>
  <si>
    <t>{"time":"2024-03-18T10:13:50.530176048Z","stream":"stdout","_ts":"2024-03-18T10:13:50.5301469Z","_msg":"2024-03-18T10:13:50.5301003Z [Information] 正在處理角標ID 84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</si>
  <si>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1710756830530176047_95d80983</t>
  </si>
  <si>
    <t>{"time":"2024-03-18T10:13:49.524996211Z","stream":"stdout","_ts":"2024-03-18T10:13:49.5248758Z","_msg":"2024-03-18T10:13:49.5247949Z [Information] 成功取得角標商品頁列表，ProductBadgeId:83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</si>
  <si>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1710756829524996211_2c20f6bd</t>
  </si>
  <si>
    <t>{"time":"2024-03-18T10:13:49.479780255Z","stream":"stdout","_ts":"2024-03-18T10:13:49.4797483Z","_msg":"2024-03-18T10:13:49.4797018Z [Information] 正在處理角標ID 83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</si>
  <si>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1710756829479780255_3c5f07c1</t>
  </si>
  <si>
    <t>{"time":"2024-03-18T10:13:48.683263798Z","stream":"stdout","_ts":"2024-03-18T10:13:48.6831387Z","_msg":"2024-03-18T10:13:48.6830631Z [Information] 成功取得角標商品頁列表，ProductBadgeId:82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</si>
  <si>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1710756828683263798_36990e98</t>
  </si>
  <si>
    <t>{"time":"2024-03-18T10:13:48.623324021Z","stream":"stdout","_ts":"2024-03-18T10:13:48.6232872Z","_msg":"2024-03-18T10:13:48.6232124Z [Information] 正在處理角標ID 82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</si>
  <si>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1710756828623324021_a2a6e397</t>
  </si>
  <si>
    <t>{"time":"2024-03-18T10:13:47.827373872Z","stream":"stdout","_ts":"2024-03-18T10:13:47.8272388Z","_msg":"2024-03-18T10:13:47.8271562Z [Information] 成功取得角標商品頁列表，ProductBadgeId:81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</si>
  <si>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1710756827827373872_12b9be7d</t>
  </si>
  <si>
    <t>{"time":"2024-03-18T10:13:47.759274124Z","stream":"stdout","_ts":"2024-03-18T10:13:47.7592198Z","_msg":"2024-03-18T10:13:47.7591600Z [Information] 正在處理角標ID 81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</si>
  <si>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1710756827759274124_2dcf91ec</t>
  </si>
  <si>
    <t>{"time":"2024-03-18T10:13:46.730860232Z","stream":"stdout","_ts":"2024-03-18T10:13:46.7307104Z","_msg":"2024-03-18T10:13:46.7306270Z [Information] 成功取得角標商品頁列表，ProductBadgeId:80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</si>
  <si>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1710756826730860232_212887bb</t>
  </si>
  <si>
    <t>{"time":"2024-03-18T10:13:46.678535679Z","stream":"stdout","_ts":"2024-03-18T10:13:46.6784819Z","_msg":"2024-03-18T10:13:46.6784190Z [Information] 正在處理角標ID 80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</si>
  <si>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1710756826678535679_2e1f1b32</t>
  </si>
  <si>
    <t>{"time":"2024-03-18T10:13:45.586252912Z","stream":"stdout","_ts":"2024-03-18T10:13:45.5861128Z","_msg":"2024-03-18T10:13:45.5860218Z [Information] 成功取得角標商品頁列表，ProductBadgeId:79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</si>
  <si>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1710756825586252912_64dc98f7</t>
  </si>
  <si>
    <t>{"time":"2024-03-18T10:13:45.483247718Z","stream":"stdout","_ts":"2024-03-18T10:13:45.4831643Z","_msg":"2024-03-18T10:13:45.4830629Z [Information] 正在處理角標ID 79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</si>
  <si>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1710756825483247718_bd9aa5c2</t>
  </si>
  <si>
    <t>{"time":"2024-03-18T10:13:44.068814452Z","stream":"stdout","_ts":"2024-03-18T10:13:44.0686803Z","_msg":"2024-03-18T10:13:44.0685999Z [Information] 成功取得角標商品頁列表，ProductBadgeId:78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</si>
  <si>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1710756824068814452_86d1885b</t>
  </si>
  <si>
    <t>{"time":"2024-03-18T10:13:44.020412716Z","stream":"stdout","_ts":"2024-03-18T10:13:44.0203731Z","_msg":"2024-03-18T10:13:44.0203166Z [Information] 正在處理角標ID 78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</si>
  <si>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1710756824020412716_9ccb28ca</t>
  </si>
  <si>
    <t>{"time":"2024-03-18T10:13:42.824404827Z","stream":"stdout","_ts":"2024-03-18T10:13:42.8242781Z","_msg":"2024-03-18T10:13:42.8241945Z [Information] 成功取得角標商品頁列表，ProductBadgeId:77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</si>
  <si>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1710756822824404827_417d7f89</t>
  </si>
  <si>
    <t>{"time":"2024-03-18T10:13:42.697675256Z","stream":"stdout","_ts":"2024-03-18T10:13:42.6976412Z","_msg":"2024-03-18T10:13:42.6975922Z [Information] 正在處理角標ID 77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</si>
  <si>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1710756822697675256_e694aaea</t>
  </si>
  <si>
    <t>{"time":"2024-03-18T10:13:41.662885875Z","stream":"stdout","_ts":"2024-03-18T10:13:41.6627786Z","_msg":"2024-03-18T10:13:41.6627151Z [Information] 成功取得角標商品頁列表，ProductBadgeId:76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</si>
  <si>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1710756821662885875_f97a4e68</t>
  </si>
  <si>
    <t>{"time":"2024-03-18T10:13:41.60031088Z","stream":"stdout","_ts":"2024-03-18T10:13:41.6002596Z","_msg":"2024-03-18T10:13:41.6002182Z [Information] 正在處理角標ID 76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</si>
  <si>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1710756821600310880_bfd9c709</t>
  </si>
  <si>
    <t>{"time":"2024-03-18T10:13:40.284163013Z","stream":"stdout","_ts":"2024-03-18T10:13:40.2840312Z","_msg":"2024-03-18T10:13:40.2839487Z [Information] 成功取得角標商品頁列表，ProductBadgeId:75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</si>
  <si>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1710756820284163013_d233495c</t>
  </si>
  <si>
    <t>{"time":"2024-03-18T10:13:40.23612639Z","stream":"stdout","_ts":"2024-03-18T10:13:40.2360504Z","_msg":"2024-03-18T10:13:40.2359596Z [Information] 正在處理角標ID 75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</si>
  <si>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1710756820236126390_3a5ce0bf</t>
  </si>
  <si>
    <t>{"time":"2024-03-18T10:13:38.919633066Z","stream":"stdout","_ts":"2024-03-18T10:13:38.9195025Z","_msg":"2024-03-18T10:13:38.9194135Z [Information] 成功取得角標商品頁列表，ProductBadgeId:74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</si>
  <si>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1710756818919633066_8dbca803</t>
  </si>
  <si>
    <t>{"time":"2024-03-18T10:13:38.860561444Z","stream":"stdout","_ts":"2024-03-18T10:13:38.8604909Z","_msg":"2024-03-18T10:13:38.8603835Z [Information] 正在處理角標ID 74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</si>
  <si>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1710756818860561444_e399c321</t>
  </si>
  <si>
    <t>{"time":"2024-03-18T10:13:37.511308548Z","stream":"stdout","_ts":"2024-03-18T10:13:37.5112108Z","_msg":"2024-03-18T10:13:37.5111502Z [Information] 成功取得角標商品頁列表，ProductBadgeId:73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</si>
  <si>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1710756817511308548_390bc409</t>
  </si>
  <si>
    <t>{"time":"2024-03-18T10:13:37.466114614Z","stream":"stdout","_ts":"2024-03-18T10:13:37.4660660Z","_msg":"2024-03-18T10:13:37.4660180Z [Information] 正在處理角標ID 73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</si>
  <si>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1710756817466114614_2f48d892</t>
  </si>
  <si>
    <t>{"time":"2024-03-18T10:13:36.645880887Z","stream":"stdout","_ts":"2024-03-18T10:13:36.6457539Z","_msg":"2024-03-18T10:13:36.6456538Z [Information] 成功取得角標商品頁列表，ProductBadgeId:72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</si>
  <si>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1710756816645880887_5c39c971</t>
  </si>
  <si>
    <t>{"time":"2024-03-18T10:13:36.591163929Z","stream":"stdout","_ts":"2024-03-18T10:13:36.5911296Z","_msg":"2024-03-18T10:13:36.5910689Z [Information] 正在處理角標ID 72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</si>
  <si>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1710756816591163929_a7e58842</t>
  </si>
  <si>
    <t>{"time":"2024-03-18T10:13:35.773580008Z","stream":"stdout","_ts":"2024-03-18T10:13:35.7734062Z","_msg":"2024-03-18T10:13:35.7733046Z [Information] 成功取得角標商品頁列表，ProductBadgeId:71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</si>
  <si>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1710756815773580008_318bf67a</t>
  </si>
  <si>
    <t>{"time":"2024-03-18T10:13:35.724637655Z","stream":"stdout","_ts":"2024-03-18T10:13:35.7245925Z","_msg":"2024-03-18T10:13:35.7244868Z [Information] 正在處理角標ID 71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</si>
  <si>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1710756815724637655_4c133a42</t>
  </si>
  <si>
    <t>{"time":"2024-03-18T10:13:34.849363957Z","stream":"stdout","_ts":"2024-03-18T10:13:34.8492264Z","_msg":"2024-03-18T10:13:34.8490836Z [Information] 成功取得角標商品頁列表，ProductBadgeId:70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</si>
  <si>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1710756814849363957_15d99e9c</t>
  </si>
  <si>
    <t>{"time":"2024-03-18T10:13:34.801008218Z","stream":"stdout","_ts":"2024-03-18T10:13:34.8009761Z","_msg":"2024-03-18T10:13:34.8009323Z [Information] 正在處理角標ID 70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</si>
  <si>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1710756814801008218_4ea516e0</t>
  </si>
  <si>
    <t>{"time":"2024-03-18T10:13:33.92441467Z","stream":"stdout","_ts":"2024-03-18T10:13:33.9242716Z","_msg":"2024-03-18T10:13:33.9241718Z [Information] 成功取得角標商品頁列表，ProductBadgeId:69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</si>
  <si>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1710756813924414670_a26fa09e</t>
  </si>
  <si>
    <t>{"time":"2024-03-18T10:13:33.876600812Z","stream":"stdout","_ts":"2024-03-18T10:13:33.8765660Z","_msg":"2024-03-18T10:13:33.8764993Z [Information] 正在處理角標ID 69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</si>
  <si>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1710756813876600812_19b30e0d</t>
  </si>
  <si>
    <t>{"time":"2024-03-18T10:13:32.896231243Z","stream":"stdout","_ts":"2024-03-18T10:13:32.8960757Z","_msg":"2024-03-18T10:13:32.8959827Z [Information] 成功取得角標商品頁列表，ProductBadgeId:68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</si>
  <si>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1710756812896231243_2b266b84</t>
  </si>
  <si>
    <t>{"time":"2024-03-18T10:13:32.837793299Z","stream":"stdout","_ts":"2024-03-18T10:13:32.8377447Z","_msg":"2024-03-18T10:13:32.8376973Z [Information] 正在處理角標ID 68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</si>
  <si>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1710756812837793299_a9811d95</t>
  </si>
  <si>
    <t>{"time":"2024-03-18T10:13:31.771621599Z","stream":"stdout","_ts":"2024-03-18T10:13:31.7714716Z","_msg":"2024-03-18T10:13:31.7713598Z [Information] 成功取得角標商品頁列表，ProductBadgeId:67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</si>
  <si>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1710756811771621599_a6c63798</t>
  </si>
  <si>
    <t>{"time":"2024-03-18T10:13:31.715679406Z","stream":"stdout","_ts":"2024-03-18T10:13:31.7156464Z","_msg":"2024-03-18T10:13:31.7155999Z [Information] 正在處理角標ID 67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</si>
  <si>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1710756811715679406_43794a0a</t>
  </si>
  <si>
    <t>{"time":"2024-03-18T10:13:30.726788531Z","stream":"stdout","_ts":"2024-03-18T10:13:30.7266469Z","_msg":"2024-03-18T10:13:30.7265664Z [Information] 成功取得角標商品頁列表，ProductBadgeId:66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</si>
  <si>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1710756810726788531_ed213b87</t>
  </si>
  <si>
    <t>{"time":"2024-03-18T10:13:30.67516063Z","stream":"stdout","_ts":"2024-03-18T10:13:30.6751222Z","_msg":"2024-03-18T10:13:30.6750553Z [Information] 正在處理角標ID 66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</si>
  <si>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1710756810675160630_36df953d</t>
  </si>
  <si>
    <t>{"time":"2024-03-18T10:13:29.746238427Z","stream":"stdout","_ts":"2024-03-18T10:13:29.7461162Z","_msg":"2024-03-18T10:13:29.7460054Z [Information] 成功取得角標商品頁列表，ProductBadgeId:65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</si>
  <si>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1710756809746238427_c2d4fa15</t>
  </si>
  <si>
    <t>{"time":"2024-03-18T10:13:29.68151174Z","stream":"stdout","_ts":"2024-03-18T10:13:29.6814651Z","_msg":"2024-03-18T10:13:29.6812841Z [Information] 正在處理角標ID 65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</si>
  <si>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1710756809681511740_6580ae22</t>
  </si>
  <si>
    <t>{"time":"2024-03-18T10:13:28.819457492Z","stream":"stdout","_ts":"2024-03-18T10:13:28.8192719Z","_msg":"2024-03-18T10:13:28.8191515Z [Information] 成功取得角標商品頁列表，ProductBadgeId:64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</si>
  <si>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1710756808819457492_8273ddf9</t>
  </si>
  <si>
    <t>{"time":"2024-03-18T10:13:28.765075523Z","stream":"stdout","_ts":"2024-03-18T10:13:28.7650389Z","_msg":"2024-03-18T10:13:28.7649420Z [Information] 正在處理角標ID 64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</si>
  <si>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1710756808765075523_f92f0e58</t>
  </si>
  <si>
    <t>{"time":"2024-03-18T10:13:27.849821794Z","stream":"stdout","_ts":"2024-03-18T10:13:27.8496972Z","_msg":"2024-03-18T10:13:27.8495960Z [Information] 成功取得角標商品頁列表，ProductBadgeId:63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</si>
  <si>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1710756807849821794_8fb4246f</t>
  </si>
  <si>
    <t>{"time":"2024-03-18T10:13:27.800512594Z","stream":"stdout","_ts":"2024-03-18T10:13:27.8004777Z","_msg":"2024-03-18T10:13:27.8004190Z [Information] 正在處理角標ID 63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</si>
  <si>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1710756807800512594_12149e71</t>
  </si>
  <si>
    <t>{"time":"2024-03-18T10:13:26.875712863Z","stream":"stdout","_ts":"2024-03-18T10:13:26.8756178Z","_msg":"2024-03-18T10:13:26.8755489Z [Information] 成功取得角標商品頁列表，ProductBadgeId:62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</si>
  <si>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1710756806875712863_3dfdc322</t>
  </si>
  <si>
    <t>{"time":"2024-03-18T10:13:26.828920074Z","stream":"stdout","_ts":"2024-03-18T10:13:26.8288852Z","_msg":"2024-03-18T10:13:26.8288061Z [Information] 正在處理角標ID 62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</si>
  <si>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1710756806828920074_ff0714a2</t>
  </si>
  <si>
    <t>{"time":"2024-03-18T10:13:25.733333146Z","stream":"stdout","_ts":"2024-03-18T10:13:25.7331843Z","_msg":"2024-03-18T10:13:25.7330704Z [Information] 成功取得角標商品頁列表，ProductBadgeId:61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</si>
  <si>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1710756805733333146_dd3592cf</t>
  </si>
  <si>
    <t>{"time":"2024-03-18T10:13:25.664019808Z","stream":"stdout","_ts":"2024-03-18T10:13:25.6639566Z","_msg":"2024-03-18T10:13:25.6635927Z [Information] 正在處理角標ID 61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</si>
  <si>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1710756805664019808_226d479f</t>
  </si>
  <si>
    <t>{"time":"2024-03-18T10:13:23.137910964Z","stream":"stdout","_ts":"2024-03-18T10:13:23.1377636Z","_msg":"2024-03-18T10:13:23.1376142Z [Information] 成功取得角標商品頁列表，ProductBadgeId:60，API回傳數量:32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</si>
  <si>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1710756803137910964_86f4abf9</t>
  </si>
  <si>
    <t>{"time":"2024-03-18T10:13:21.875676587Z","stream":"stdout","_ts":"2024-03-18T10:13:21.8755983Z","_msg":"2024-03-18T10:13:21.8754098Z [Information] 正在處理角標ID 60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</si>
  <si>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1710756801875676587_6ed7c19c</t>
  </si>
  <si>
    <t>兩兩一組差值</t>
    <phoneticPr fontId="18" type="noConversion"/>
  </si>
  <si>
    <t>{"__tenant_id__":"fake","_hid":"commerce-nmqv3-console-nmqv3worker-59786bdfb-hxdpg","_lt":"Common","_lvl":"Information","_msg":"2024-03-18T10:14:07.4881401Z [Information] Get Tagging Data API Result : ItemId : 3709 ItemType : product TagValues : 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07.4881877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07.488285274Z"}</t>
  </si>
  <si>
    <t>{"time":"2024-03-18T10:14:07.488285274Z","stream":"stdout","_ts":"2024-03-18T10:14:07.4881877Z","_msg":"2024-03-18T10:14:07.4881401Z [Information] Get Tagging Data API Result : ItemId : 3709 ItemType : product TagValues : 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</si>
  <si>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1710756847488285274_fd2332e0</t>
  </si>
  <si>
    <t>{"time":"2024-03-18T10:14:07.467414573Z","stream":"stdout","_ts":"2024-03-18T10:14:07.4672490Z","_msg":"2024-03-18T10:14:07.4671590Z [Information] 目標角標序號：100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</si>
  <si>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{"__tenant_id__":"fake","_hid":"commerce-nmqv3-console-nmqv3worker-59786bdfb-hxdpg","_lt":"Common","_lvl":"Information","_msg":"2024-03-18T10:14:06.4193792Z [Information] Get Tagging Data API Result : ItemId : 3709 ItemType : product TagValues :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06.4194427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06.419531376Z"}</t>
  </si>
  <si>
    <t>{"time":"2024-03-18T10:14:06.419531376Z","stream":"stdout","_ts":"2024-03-18T10:14:06.4194427Z","_msg":"2024-03-18T10:14:06.4193792Z [Information] Get Tagging Data API Result : ItemId : 3709 ItemType : product TagValues :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</si>
  <si>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1710756846419531376_d22187b2</t>
  </si>
  <si>
    <t>{"time":"2024-03-18T10:14:06.393763977Z","stream":"stdout","_ts":"2024-03-18T10:14:06.3936078Z","_msg":"2024-03-18T10:14:06.3935201Z [Information] 目標角標序號：99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</si>
  <si>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{"__tenant_id__":"fake","_hid":"commerce-nmqv3-console-nmqv3worker-59786bdfb-hxdpg","_lt":"Common","_lvl":"Information","_msg":"2024-03-18T10:14:05.4204582Z [Information] Get Tagging Data API Result : ItemId : 3709 ItemType : product TagValues :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05.4205404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05.420701998Z"}</t>
  </si>
  <si>
    <t>{"time":"2024-03-18T10:14:05.420701998Z","stream":"stdout","_ts":"2024-03-18T10:14:05.4205404Z","_msg":"2024-03-18T10:14:05.4204582Z [Information] Get Tagging Data API Result : ItemId : 3709 ItemType : product TagValues :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</si>
  <si>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1710756845420701998_1b3aec7e</t>
  </si>
  <si>
    <t>{"time":"2024-03-18T10:14:05.402081433Z","stream":"stdout","_ts":"2024-03-18T10:14:05.4019128Z","_msg":"2024-03-18T10:14:05.4018237Z [Information] 目標角標序號：98，unapplyTag執行完成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</si>
  <si>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{"__tenant_id__":"fake","_hid":"commerce-nmqv3-console-nmqv3worker-59786bdfb-hxdpg","_lt":"Common","_lvl":"Information","_msg":"2024-03-18T10:14:04.5132904Z [Information] Get Tagging Data API Result : ItemId : 3709 ItemType : product TagValues :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04.5133497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04.513452822Z"}</t>
  </si>
  <si>
    <t>{"time":"2024-03-18T10:14:04.513452822Z","stream":"stdout","_ts":"2024-03-18T10:14:04.5133497Z","_msg":"2024-03-18T10:14:04.5132904Z [Information] Get Tagging Data API Result : ItemId : 3709 ItemType : product TagValues :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</si>
  <si>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1710756844513452822_5d29070a</t>
  </si>
  <si>
    <t>{"__tenant_id__":"fake","_hid":"commerce-nmqv3-console-nmqv3worker-59786bdfb-hxdpg","_lt":"Common","_lvl":"Information","_msg":"2024-03-18T10:14:03.5302350Z [Information] Get Tagging Data API Result : ItemId : 3709 ItemType : product TagValues :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03.5303019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03.530389562Z"}</t>
  </si>
  <si>
    <t>{"time":"2024-03-18T10:14:03.530389562Z","stream":"stdout","_ts":"2024-03-18T10:14:03.5303019Z","_msg":"2024-03-18T10:14:03.5302350Z [Information] Get Tagging Data API Result : ItemId : 3709 ItemType : product TagValues :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</si>
  <si>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1710756843530389562_e7f94a7c</t>
  </si>
  <si>
    <t>{"__tenant_id__":"fake","_hid":"commerce-nmqv3-console-nmqv3worker-59786bdfb-hxdpg","_lt":"Common","_lvl":"Information","_msg":"2024-03-18T10:14:02.5097806Z [Information] Get Tagging Data API Result : ItemId : 3709 ItemType : product TagValues :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02.5098328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02.5099042Z"}</t>
  </si>
  <si>
    <t>{"time":"2024-03-18T10:14:02.5099042Z","stream":"stdout","_ts":"2024-03-18T10:14:02.5098328Z","_msg":"2024-03-18T10:14:02.5097806Z [Information] Get Tagging Data API Result : ItemId : 3709 ItemType : product TagValues :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</si>
  <si>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1710756842509904200_bff72c32</t>
  </si>
  <si>
    <t>{"__tenant_id__":"fake","_hid":"commerce-nmqv3-console-nmqv3worker-59786bdfb-hxdpg","_lt":"Common","_lvl":"Information","_msg":"2024-03-18T10:14:01.3226350Z [Information] Get Tagging Data API Result : ItemId : 3709 ItemType : product TagValues :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01.3227054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01.322813715Z"}</t>
  </si>
  <si>
    <t>{"time":"2024-03-18T10:14:01.322813715Z","stream":"stdout","_ts":"2024-03-18T10:14:01.3227054Z","_msg":"2024-03-18T10:14:01.3226350Z [Information] Get Tagging Data API Result : ItemId : 3709 ItemType : product TagValues :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</si>
  <si>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1710756841322813715_51eee962</t>
  </si>
  <si>
    <t>{"__tenant_id__":"fake","_hid":"commerce-nmqv3-console-nmqv3worker-59786bdfb-hxdpg","_lt":"Common","_lvl":"Information","_msg":"2024-03-18T10:14:00.2175847Z [Information] Get Tagging Data API Result : ItemId : 3709 ItemType : product TagValues :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14:00.2176719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14:00.217779326Z"}</t>
  </si>
  <si>
    <t>{"time":"2024-03-18T10:14:00.217779326Z","stream":"stdout","_ts":"2024-03-18T10:14:00.2176719Z","_msg":"2024-03-18T10:14:00.2175847Z [Information] Get Tagging Data API Result : ItemId : 3709 ItemType : product TagValues :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</si>
  <si>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1710756840217779326_a2db2ac4</t>
  </si>
  <si>
    <t>{"__tenant_id__":"fake","_hid":"commerce-nmqv3-console-nmqv3worker-59786bdfb-hxdpg","_lt":"Common","_lvl":"Information","_msg":"2024-03-18T10:13:59.2154799Z [Information] Get Tagging Data API Result : ItemId : 3709 ItemType : product TagValues :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59.2156031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59.215753759Z"}</t>
  </si>
  <si>
    <t>{"time":"2024-03-18T10:13:59.215753759Z","stream":"stdout","_ts":"2024-03-18T10:13:59.2156031Z","_msg":"2024-03-18T10:13:59.2154799Z [Information] Get Tagging Data API Result : ItemId : 3709 ItemType : product TagValues :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</si>
  <si>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1710756839215753759_3edaceba</t>
  </si>
  <si>
    <t>{"__tenant_id__":"fake","_hid":"commerce-nmqv3-console-nmqv3worker-59786bdfb-hxdpg","_lt":"Common","_lvl":"Information","_msg":"2024-03-18T10:13:58.1301318Z [Information] Get Tagging Data API Result : ItemId : 3709 ItemType : product TagValues :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58.1302263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58.130350137Z"}</t>
  </si>
  <si>
    <t>{"time":"2024-03-18T10:13:58.130350137Z","stream":"stdout","_ts":"2024-03-18T10:13:58.1302263Z","_msg":"2024-03-18T10:13:58.1301318Z [Information] Get Tagging Data API Result : ItemId : 3709 ItemType : product TagValues :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</si>
  <si>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1710756838130350137_1c69ea6a</t>
  </si>
  <si>
    <t>{"__tenant_id__":"fake","_hid":"commerce-nmqv3-console-nmqv3worker-59786bdfb-hxdpg","_lt":"Common","_lvl":"Information","_msg":"2024-03-18T10:13:57.0868502Z [Information] Get Tagging Data API Result : ItemId : 3709 ItemType : product TagValues :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57.0869141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57.087014828Z"}</t>
  </si>
  <si>
    <t>{"time":"2024-03-18T10:13:57.087014828Z","stream":"stdout","_ts":"2024-03-18T10:13:57.0869141Z","_msg":"2024-03-18T10:13:57.0868502Z [Information] Get Tagging Data API Result : ItemId : 3709 ItemType : product TagValues :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</si>
  <si>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1710756837087014828_f72dd5d2</t>
  </si>
  <si>
    <t>{"__tenant_id__":"fake","_hid":"commerce-nmqv3-console-nmqv3worker-59786bdfb-hxdpg","_lt":"Common","_lvl":"Information","_msg":"2024-03-18T10:13:56.0733673Z [Information] Get Tagging Data API Result : ItemId : 3709 ItemType : product TagValues :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56.0734819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56.073609643Z"}</t>
  </si>
  <si>
    <t>{"time":"2024-03-18T10:13:56.073609643Z","stream":"stdout","_ts":"2024-03-18T10:13:56.0734819Z","_msg":"2024-03-18T10:13:56.0733673Z [Information] Get Tagging Data API Result : ItemId : 3709 ItemType : product TagValues :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</si>
  <si>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1710756836073609643_3e1d4a36</t>
  </si>
  <si>
    <t>{"__tenant_id__":"fake","_hid":"commerce-nmqv3-console-nmqv3worker-59786bdfb-hxdpg","_lt":"Common","_lvl":"Information","_msg":"2024-03-18T10:13:54.3841004Z [Information] Get Tagging Data API Result : ItemId : 3709 ItemType : product TagValues :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54.3841589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54.384247114Z"}</t>
  </si>
  <si>
    <t>{"time":"2024-03-18T10:13:54.384247114Z","stream":"stdout","_ts":"2024-03-18T10:13:54.3841589Z","_msg":"2024-03-18T10:13:54.3841004Z [Information] Get Tagging Data API Result : ItemId : 3709 ItemType : product TagValues :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</si>
  <si>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1710756834384247114_2e7ffd30</t>
  </si>
  <si>
    <t>{"__tenant_id__":"fake","_hid":"commerce-nmqv3-console-nmqv3worker-59786bdfb-hxdpg","_lt":"Common","_lvl":"Information","_msg":"2024-03-18T10:13:53.4522043Z [Information] Get Tagging Data API Result : ItemId : 3709 ItemType : product TagValues :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53.4523260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53.453964572Z"}</t>
  </si>
  <si>
    <t>{"time":"2024-03-18T10:13:53.453964572Z","stream":"stdout","_ts":"2024-03-18T10:13:53.4523260Z","_msg":"2024-03-18T10:13:53.4522043Z [Information] Get Tagging Data API Result : ItemId : 3709 ItemType : product TagValues :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</si>
  <si>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1710756833453964572_86868568</t>
  </si>
  <si>
    <t>{"__tenant_id__":"fake","_hid":"commerce-nmqv3-console-nmqv3worker-59786bdfb-hxdpg","_lt":"Common","_lvl":"Information","_msg":"2024-03-18T10:13:52.3719175Z [Information] Get Tagging Data API Result : ItemId : 3709 ItemType : product TagValues :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52.3720144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52.372151762Z"}</t>
  </si>
  <si>
    <t>{"time":"2024-03-18T10:13:52.372151762Z","stream":"stdout","_ts":"2024-03-18T10:13:52.3720144Z","_msg":"2024-03-18T10:13:52.3719175Z [Information] Get Tagging Data API Result : ItemId : 3709 ItemType : product TagValues :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</si>
  <si>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1710756832372151762_10cbd52a</t>
  </si>
  <si>
    <t>{"__tenant_id__":"fake","_hid":"commerce-nmqv3-console-nmqv3worker-59786bdfb-hxdpg","_lt":"Common","_lvl":"Information","_msg":"2024-03-18T10:13:51.4301401Z [Information] Get Tagging Data API Result : ItemId : 3709 ItemType : product TagValues :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51.4302031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51.430288356Z"}</t>
  </si>
  <si>
    <t>{"time":"2024-03-18T10:13:51.430288356Z","stream":"stdout","_ts":"2024-03-18T10:13:51.4302031Z","_msg":"2024-03-18T10:13:51.4301401Z [Information] Get Tagging Data API Result : ItemId : 3709 ItemType : product TagValues :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</si>
  <si>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1710756831430288356_61ce4f62</t>
  </si>
  <si>
    <t>{"__tenant_id__":"fake","_hid":"commerce-nmqv3-console-nmqv3worker-59786bdfb-hxdpg","_lt":"Common","_lvl":"Information","_msg":"2024-03-18T10:13:50.5269792Z [Information] Get Tagging Data API Result : ItemId : 3709 ItemType : product TagValues :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50.5270465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50.52714725Z"}</t>
  </si>
  <si>
    <t>{"time":"2024-03-18T10:13:50.52714725Z","stream":"stdout","_ts":"2024-03-18T10:13:50.5270465Z","_msg":"2024-03-18T10:13:50.5269792Z [Information] Get Tagging Data API Result : ItemId : 3709 ItemType : product TagValues :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</si>
  <si>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1710756830527147249_7fcd1a3a</t>
  </si>
  <si>
    <t>{"__tenant_id__":"fake","_hid":"commerce-nmqv3-console-nmqv3worker-59786bdfb-hxdpg","_lt":"Common","_lvl":"Information","_msg":"2024-03-18T10:13:49.4764357Z [Information] Get Tagging Data API Result : ItemId : 3709 ItemType : product TagValues :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49.4764992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49.476591069Z"}</t>
  </si>
  <si>
    <t>{"time":"2024-03-18T10:13:49.476591069Z","stream":"stdout","_ts":"2024-03-18T10:13:49.4764992Z","_msg":"2024-03-18T10:13:49.4764357Z [Information] Get Tagging Data API Result : ItemId : 3709 ItemType : product TagValues :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</si>
  <si>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1710756829476591069_54b227a2</t>
  </si>
  <si>
    <t>{"__tenant_id__":"fake","_hid":"commerce-nmqv3-console-nmqv3worker-59786bdfb-hxdpg","_lt":"Common","_lvl":"Information","_msg":"2024-03-18T10:13:48.6201803Z [Information] Get Tagging Data API Result : ItemId : 3709 ItemType : product TagValues :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48.6202735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48.620376365Z"}</t>
  </si>
  <si>
    <t>{"time":"2024-03-18T10:13:48.620376365Z","stream":"stdout","_ts":"2024-03-18T10:13:48.6202735Z","_msg":"2024-03-18T10:13:48.6201803Z [Information] Get Tagging Data API Result : ItemId : 3709 ItemType : product TagValues :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</si>
  <si>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1710756828620376365_cbb0350e</t>
  </si>
  <si>
    <t>{"__tenant_id__":"fake","_hid":"commerce-nmqv3-console-nmqv3worker-59786bdfb-hxdpg","_lt":"Common","_lvl":"Information","_msg":"2024-03-18T10:13:47.7556406Z [Information] Get Tagging Data API Result : ItemId : 3709 ItemType : product TagValues :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47.7557453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47.755887377Z"}</t>
  </si>
  <si>
    <t>{"time":"2024-03-18T10:13:47.755887377Z","stream":"stdout","_ts":"2024-03-18T10:13:47.7557453Z","_msg":"2024-03-18T10:13:47.7556406Z [Information] Get Tagging Data API Result : ItemId : 3709 ItemType : product TagValues :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</si>
  <si>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1710756827755887377_699c840c</t>
  </si>
  <si>
    <t>{"__tenant_id__":"fake","_hid":"commerce-nmqv3-console-nmqv3worker-59786bdfb-hxdpg","_lt":"Common","_lvl":"Information","_msg":"2024-03-18T10:13:46.6756092Z [Information] Get Tagging Data API Result : ItemId : 3709 ItemType : product TagValues :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46.6756718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46.675763706Z"}</t>
  </si>
  <si>
    <t>{"time":"2024-03-18T10:13:46.675763706Z","stream":"stdout","_ts":"2024-03-18T10:13:46.6756718Z","_msg":"2024-03-18T10:13:46.6756092Z [Information] Get Tagging Data API Result : ItemId : 3709 ItemType : product TagValues :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</si>
  <si>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1710756826675763706_6a4513f6</t>
  </si>
  <si>
    <t>{"__tenant_id__":"fake","_hid":"commerce-nmqv3-console-nmqv3worker-59786bdfb-hxdpg","_lt":"Common","_lvl":"Information","_msg":"2024-03-18T10:13:45.3980036Z [Information] Get Tagging Data API Result : ItemId : 3709 ItemType : product TagValues :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45.3980935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45.398203543Z"}</t>
  </si>
  <si>
    <t>{"time":"2024-03-18T10:13:45.398203543Z","stream":"stdout","_ts":"2024-03-18T10:13:45.3980935Z","_msg":"2024-03-18T10:13:45.3980036Z [Information] Get Tagging Data API Result : ItemId : 3709 ItemType : product TagValues :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</si>
  <si>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1710756825398203543_77d99d1e</t>
  </si>
  <si>
    <t>{"__tenant_id__":"fake","_hid":"commerce-nmqv3-console-nmqv3worker-59786bdfb-hxdpg","_lt":"Common","_lvl":"Information","_msg":"2024-03-18T10:13:44.0173639Z [Information] Get Tagging Data API Result : ItemId : 3709 ItemType : product TagValues :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44.0175105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44.017636118Z"}</t>
  </si>
  <si>
    <t>{"time":"2024-03-18T10:13:44.017636118Z","stream":"stdout","_ts":"2024-03-18T10:13:44.0175105Z","_msg":"2024-03-18T10:13:44.0173639Z [Information] Get Tagging Data API Result : ItemId : 3709 ItemType : product TagValues :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</si>
  <si>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1710756824017636118_440c0516</t>
  </si>
  <si>
    <t>{"__tenant_id__":"fake","_hid":"commerce-nmqv3-console-nmqv3worker-59786bdfb-hxdpg","_lt":"Common","_lvl":"Information","_msg":"2024-03-18T10:13:42.6926550Z [Information] Get Tagging Data API Result : ItemId : 3709 ItemType : product TagValues :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42.6927708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42.693049793Z"}</t>
  </si>
  <si>
    <t>{"time":"2024-03-18T10:13:42.693049793Z","stream":"stdout","_ts":"2024-03-18T10:13:42.6927708Z","_msg":"2024-03-18T10:13:42.6926550Z [Information] Get Tagging Data API Result : ItemId : 3709 ItemType : product TagValues :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</si>
  <si>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1710756822693049793_e01d90</t>
  </si>
  <si>
    <t>{"__tenant_id__":"fake","_hid":"commerce-nmqv3-console-nmqv3worker-59786bdfb-hxdpg","_lt":"Common","_lvl":"Information","_msg":"2024-03-18T10:13:41.5852399Z [Information] Get Tagging Data API Result : ItemId : 3709 ItemType : product TagValues :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41.5853550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41.585473422Z"}</t>
  </si>
  <si>
    <t>{"time":"2024-03-18T10:13:41.585473422Z","stream":"stdout","_ts":"2024-03-18T10:13:41.5853550Z","_msg":"2024-03-18T10:13:41.5852399Z [Information] Get Tagging Data API Result : ItemId : 3709 ItemType : product TagValues :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</si>
  <si>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1710756821585473422_796f6ed4</t>
  </si>
  <si>
    <t>{"__tenant_id__":"fake","_hid":"commerce-nmqv3-console-nmqv3worker-59786bdfb-hxdpg","_lt":"Common","_lvl":"Information","_msg":"2024-03-18T10:13:40.2151379Z [Information] Get Tagging Data API Result : ItemId : 3709 ItemType : product TagValues :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40.2152687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40.215393394Z"}</t>
  </si>
  <si>
    <t>{"time":"2024-03-18T10:13:40.215393394Z","stream":"stdout","_ts":"2024-03-18T10:13:40.2152687Z","_msg":"2024-03-18T10:13:40.2151379Z [Information] Get Tagging Data API Result : ItemId : 3709 ItemType : product TagValues :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</si>
  <si>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1710756820215393394_78082fa</t>
  </si>
  <si>
    <t>{"__tenant_id__":"fake","_hid":"commerce-nmqv3-console-nmqv3worker-59786bdfb-hxdpg","_lt":"Common","_lvl":"Information","_msg":"2024-03-18T10:13:38.8310938Z [Information] Get Tagging Data API Result : ItemId : 3709 ItemType : product TagValues :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38.8312196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38.831386742Z"}</t>
  </si>
  <si>
    <t>{"time":"2024-03-18T10:13:38.831386742Z","stream":"stdout","_ts":"2024-03-18T10:13:38.8312196Z","_msg":"2024-03-18T10:13:38.8310938Z [Information] Get Tagging Data API Result : ItemId : 3709 ItemType : product TagValues :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</si>
  <si>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1710756818831386742_5a205976</t>
  </si>
  <si>
    <t>{"__tenant_id__":"fake","_hid":"commerce-nmqv3-console-nmqv3worker-59786bdfb-hxdpg","_lt":"Common","_lvl":"Information","_msg":"2024-03-18T10:13:37.4618561Z [Information] Get Tagging Data API Result : ItemId : 3709 ItemType : product TagValues :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37.4619533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37.462050768Z"}</t>
  </si>
  <si>
    <t>{"time":"2024-03-18T10:13:37.462050768Z","stream":"stdout","_ts":"2024-03-18T10:13:37.4619533Z","_msg":"2024-03-18T10:13:37.4618561Z [Information] Get Tagging Data API Result : ItemId : 3709 ItemType : product TagValues :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</si>
  <si>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1710756817462050768_a0f5ed10</t>
  </si>
  <si>
    <t>{"__tenant_id__":"fake","_hid":"commerce-nmqv3-console-nmqv3worker-59786bdfb-hxdpg","_lt":"Common","_lvl":"Information","_msg":"2024-03-18T10:13:36.5875218Z [Information] Get Tagging Data API Result : ItemId : 3709 ItemType : product TagValues :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36.5876421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36.587769696Z"}</t>
  </si>
  <si>
    <t>{"time":"2024-03-18T10:13:36.587769696Z","stream":"stdout","_ts":"2024-03-18T10:13:36.5876421Z","_msg":"2024-03-18T10:13:36.5875218Z [Information] Get Tagging Data API Result : ItemId : 3709 ItemType : product TagValues :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</si>
  <si>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1710756816587769696_39523e18</t>
  </si>
  <si>
    <t>{"__tenant_id__":"fake","_hid":"commerce-nmqv3-console-nmqv3worker-59786bdfb-hxdpg","_lt":"Common","_lvl":"Information","_msg":"2024-03-18T10:13:35.7209382Z [Information] Get Tagging Data API Result : ItemId : 3709 ItemType : product TagValues :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35.7210577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35.721182921Z"}</t>
  </si>
  <si>
    <t>{"time":"2024-03-18T10:13:35.721182921Z","stream":"stdout","_ts":"2024-03-18T10:13:35.7210577Z","_msg":"2024-03-18T10:13:35.7209382Z [Information] Get Tagging Data API Result : ItemId : 3709 ItemType : product TagValues :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</si>
  <si>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1710756815721182921_57acac6a</t>
  </si>
  <si>
    <t>{"__tenant_id__":"fake","_hid":"commerce-nmqv3-console-nmqv3worker-59786bdfb-hxdpg","_lt":"Common","_lvl":"Information","_msg":"2024-03-18T10:13:34.7970037Z [Information] Get Tagging Data API Result : ItemId : 3709 ItemType : product TagValues :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34.7970988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34.797229064Z"}</t>
  </si>
  <si>
    <t>{"time":"2024-03-18T10:13:34.797229064Z","stream":"stdout","_ts":"2024-03-18T10:13:34.7970988Z","_msg":"2024-03-18T10:13:34.7970037Z [Information] Get Tagging Data API Result : ItemId : 3709 ItemType : product TagValues :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</si>
  <si>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1710756814797229064_964c192c</t>
  </si>
  <si>
    <t>{"__tenant_id__":"fake","_hid":"commerce-nmqv3-console-nmqv3worker-59786bdfb-hxdpg","_lt":"Common","_lvl":"Information","_msg":"2024-03-18T10:13:33.8729178Z [Information] Get Tagging Data API Result : ItemId : 3709 ItemType : product TagValues :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33.8730270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33.873156584Z"}</t>
  </si>
  <si>
    <t>{"time":"2024-03-18T10:13:33.873156584Z","stream":"stdout","_ts":"2024-03-18T10:13:33.8730270Z","_msg":"2024-03-18T10:13:33.8729178Z [Information] Get Tagging Data API Result : ItemId : 3709 ItemType : product TagValues :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</si>
  <si>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1710756813873156584_825041c2</t>
  </si>
  <si>
    <t>{"__tenant_id__":"fake","_hid":"commerce-nmqv3-console-nmqv3worker-59786bdfb-hxdpg","_lt":"Common","_lvl":"Information","_msg":"2024-03-18T10:13:32.8340201Z [Information] Get Tagging Data API Result : ItemId : 3709 ItemType : product TagValues :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32.8341088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32.834187727Z"}</t>
  </si>
  <si>
    <t>{"time":"2024-03-18T10:13:32.834187727Z","stream":"stdout","_ts":"2024-03-18T10:13:32.8341088Z","_msg":"2024-03-18T10:13:32.8340201Z [Information] Get Tagging Data API Result : ItemId : 3709 ItemType : product TagValues :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</si>
  <si>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1710756812834187727_8d7c648a</t>
  </si>
  <si>
    <t>{"__tenant_id__":"fake","_hid":"commerce-nmqv3-console-nmqv3worker-59786bdfb-hxdpg","_lt":"Common","_lvl":"Information","_msg":"2024-03-18T10:13:31.7111860Z [Information] Get Tagging Data API Result : ItemId : 3709 ItemType : product TagValues : N1-S-ProductBadge::67,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31.7113084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31.711428777Z"}</t>
  </si>
  <si>
    <t>{"time":"2024-03-18T10:13:31.711428777Z","stream":"stdout","_ts":"2024-03-18T10:13:31.7113084Z","_msg":"2024-03-18T10:13:31.7111860Z [Information] Get Tagging Data API Result : ItemId : 3709 ItemType : product TagValues : N1-S-ProductBadge::67,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</si>
  <si>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1710756811711428777_1350b4e</t>
  </si>
  <si>
    <t>{"__tenant_id__":"fake","_hid":"commerce-nmqv3-console-nmqv3worker-59786bdfb-hxdpg","_lt":"Common","_lvl":"Information","_msg":"2024-03-18T10:13:30.6717274Z [Information] Get Tagging Data API Result : ItemId : 3709 ItemType : product TagValues :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30.6718728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30.67202252Z"}</t>
  </si>
  <si>
    <t>{"time":"2024-03-18T10:13:30.67202252Z","stream":"stdout","_ts":"2024-03-18T10:13:30.6718728Z","_msg":"2024-03-18T10:13:30.6717274Z [Information] Get Tagging Data API Result : ItemId : 3709 ItemType : product TagValues :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</si>
  <si>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1710756810672022520_4c98f7b0</t>
  </si>
  <si>
    <t>{"__tenant_id__":"fake","_hid":"commerce-nmqv3-console-nmqv3worker-59786bdfb-hxdpg","_lt":"Common","_lvl":"Information","_msg":"2024-03-18T10:13:29.6773935Z [Information] Get Tagging Data API Result : ItemId : 3709 ItemType : product TagValues :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29.6775551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29.677699495Z"}</t>
  </si>
  <si>
    <t>{"time":"2024-03-18T10:13:29.677699495Z","stream":"stdout","_ts":"2024-03-18T10:13:29.6775551Z","_msg":"2024-03-18T10:13:29.6773935Z [Information] Get Tagging Data API Result : ItemId : 3709 ItemType : product TagValues :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</si>
  <si>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1710756809677699495_ee24cd1e</t>
  </si>
  <si>
    <t>{"__tenant_id__":"fake","_hid":"commerce-nmqv3-console-nmqv3worker-59786bdfb-hxdpg","_lt":"Common","_lvl":"Information","_msg":"2024-03-18T10:13:28.7605889Z [Information] Get Tagging Data API Result : ItemId : 3709 ItemType : product TagValues :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28.7607357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28.760884145Z"}</t>
  </si>
  <si>
    <t>{"time":"2024-03-18T10:13:28.760884145Z","stream":"stdout","_ts":"2024-03-18T10:13:28.7607357Z","_msg":"2024-03-18T10:13:28.7605889Z [Information] Get Tagging Data API Result : ItemId : 3709 ItemType : product TagValues :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</si>
  <si>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1710756808760884145_cae17a78</t>
  </si>
  <si>
    <t>{"__tenant_id__":"fake","_hid":"commerce-nmqv3-console-nmqv3worker-59786bdfb-hxdpg","_lt":"Common","_lvl":"Information","_msg":"2024-03-18T10:13:27.7965403Z [Information] Get Tagging Data API Result : ItemId : 3709 ItemType : product TagValues :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27.7966664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27.796793086Z"}</t>
  </si>
  <si>
    <t>{"time":"2024-03-18T10:13:27.796793086Z","stream":"stdout","_ts":"2024-03-18T10:13:27.7966664Z","_msg":"2024-03-18T10:13:27.7965403Z [Information] Get Tagging Data API Result : ItemId : 3709 ItemType : product TagValues :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</si>
  <si>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1710756807796793086_f3ff8850</t>
  </si>
  <si>
    <t>{"__tenant_id__":"fake","_hid":"commerce-nmqv3-console-nmqv3worker-59786bdfb-hxdpg","_lt":"Common","_lvl":"Information","_msg":"2024-03-18T10:13:26.8246865Z [Information] Get Tagging Data API Result : ItemId : 3709 ItemType : product TagValues :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26.8248333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26.824964486Z"}</t>
  </si>
  <si>
    <t>{"time":"2024-03-18T10:13:26.824964486Z","stream":"stdout","_ts":"2024-03-18T10:13:26.8248333Z","_msg":"2024-03-18T10:13:26.8246865Z [Information] Get Tagging Data API Result : ItemId : 3709 ItemType : product TagValues :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</si>
  <si>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1710756806824964486_ecf63bbe</t>
  </si>
  <si>
    <t>{"__tenant_id__":"fake","_hid":"commerce-nmqv3-console-nmqv3worker-59786bdfb-hxdpg","_lt":"Common","_lvl":"Information","_msg":"2024-03-18T10:13:24.9592592Z [Information] Get Tagging Data API Result : ItemId : 3709 ItemType : product TagValues : N1-S-ProductBadge::61,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props_CorrelationId":"2d15e4fe-dfcf-45cc-ac61-5f6a98e2f492","_props_GroupName":"commerce-nmqv3.group1","_props_JobName":"ProductBadgeArchiveJob","_props_LogRootPath":"D:\\logs\\nmq","_props_TaskId":"2d15e4fe-dfcf-45cc-ac61-5f6a98e2f492","_srctx":"NMQ.Core.Router.ProcessPool.WorkerProcessPool","_ts":"2024-03-18T10:13:24.9593996Z","container":"commerce-nmqv3-console-nmqv3worker","kube_container_name":"commerce-nmqv3-console-nmqv3worker","kube_namespace":"my-qa-commerce-nmqv3","service":"my-qa-commerce-nmqv3","source":"commerce-nmqv3-console-nmqv3worker-59786bdfb-hxdpg","stream":"stdout","time":"2024-03-18T10:13:24.959568005Z"}</t>
  </si>
  <si>
    <t>{"time":"2024-03-18T10:13:24.959568005Z","stream":"stdout","_ts":"2024-03-18T10:13:24.9593996Z","_msg":"2024-03-18T10:13:24.9592592Z [Information] Get Tagging Data API Result : ItemId : 3709 ItemType : product TagValues : N1-S-ProductBadge::61, N1-S-ProductBadge::62, N1-S-ProductBadge::63, N1-S-ProductBadge::64, N1-S-ProductBadge::65, N1-S-ProductBadge::67, N1-S-ProductBadge::66, N1-S-ProductBadge::68, N1-S-ProductBadge::69, N1-S-ProductBadge::70, N1-S-ProductBadge::71, N1-S-ProductBadge::72, N1-S-ProductBadge::73, N1-S-ProductBadge::74, N1-S-ProductBadge::75, N1-S-ProductBadge::76, N1-S-ProductBadge::77, N1-S-ProductBadge::78, N1-S-ProductBadge::79, N1-S-ProductBadge::80, N1-S-ProductBadge::81, N1-S-ProductBadge::82, N1-S-ProductBadge::83, N1-S-ProductBadge::84, N1-S-ProductBadge::85, N1-S-ProductBadge::86, N1-S-ProductBadge::87, N1-S-ProductBadge::89, N1-S-ProductBadge::90, N1-S-ProductBadge::91, N1-S-ProductBadge::92, N1-S-ProductBadge::93, N1-S-ProductBadge::94, N1-S-ProductBadge::95, N1-S-ProductBadge::96, N1-S-ProductBadge::97, N1-S-ProductBadge::98, N1-S-ProductBadge::99, N1-S-ProductBadge::100","_lvl":"Information","_srctx":"NMQ.Core.Router.ProcessPool.WorkerProcessPool","_lt":"Common","_hid":"commerce-nmqv3-console-nmqv3worker-59786bdfb-hxdpg","_props":{"TaskId":"2d15e4fe-dfcf-45cc-ac61-5f6a98e2f492","SourceId":"","JobName":"ProductBadgeArchiveJob","GroupName":"commerce-nmqv3.group1","CorrelationId":"2d15e4fe-dfcf-45cc-ac61-5f6a98e2f492","LogRootPath":"D:\\logs\\nmq"},"source":"commerce-nmqv3-console-nmqv3worker-59786bdfb-hxdpg","kube_namespace":"my-qa-commerce-nmqv3","kube_container_name":"commerce-nmqv3-console-nmqv3worker"}</t>
  </si>
  <si>
    <t>1710756804959568005_6544bb70</t>
  </si>
  <si>
    <t>查詢關聯商品</t>
    <phoneticPr fontId="18" type="noConversion"/>
  </si>
  <si>
    <t>解綁</t>
    <phoneticPr fontId="18" type="noConversion"/>
  </si>
  <si>
    <t>檢查</t>
    <phoneticPr fontId="18" type="noConversion"/>
  </si>
  <si>
    <t>40個角標每個角標綁定30個商品頁</t>
    <phoneticPr fontId="18" type="noConversion"/>
  </si>
  <si>
    <t>總時間(s)</t>
    <phoneticPr fontId="18" type="noConversion"/>
  </si>
  <si>
    <t>{"time":"2024-03-19T01:42:06.671625675Z","stream":"stdout","_ts":"2024-03-19T01:42:06.6714234Z","_msg":"2024-03-19T01:42:06.6712856Z [Information] 成功取得角標商品頁列表，ProductBadgeId:101，API回傳數量:100","_lvl":"Information","_srctx":"NMQ.Core.Router.ProcessPool.WorkerProcessPool","_lt":"Common","_hid":"commerce-nmqv3-console-nmqv3worker-59786bdfb-jzl7g","_props":{"TaskId":"c78ae678-c992-4838-8898-560503bf6687","SourceId":"","JobName":"ProductBadgeArchiveJob","GroupName":"commerce-nmqv3.group1","CorrelationId":"c78ae678-c992-4838-8898-560503bf6687","LogRootPath":"D:\\logs\\nmq"},"source":"commerce-nmqv3-console-nmqv3worker-59786bdfb-jzl7g","kube_namespace":"my-qa-commerce-nmqv3","kube_container_name":"commerce-nmqv3-console-nmqv3worker"}</t>
  </si>
  <si>
    <t>1710812526671625675_34df7307</t>
  </si>
  <si>
    <t>{"time":"2024-03-19T01:42:05.355344205Z","stream":"stdout","_ts":"2024-03-19T01:42:05.3552554Z","_msg":"2024-03-19T01:42:05.3549313Z [Information] 正在處理角標ID 101","_lvl":"Information","_srctx":"NMQ.Core.Router.ProcessPool.WorkerProcessPool","_lt":"Common","_hid":"commerce-nmqv3-console-nmqv3worker-59786bdfb-jzl7g","_props":{"TaskId":"c78ae678-c992-4838-8898-560503bf6687","SourceId":"","JobName":"ProductBadgeArchiveJob","GroupName":"commerce-nmqv3.group1","CorrelationId":"c78ae678-c992-4838-8898-560503bf6687","LogRootPath":"D:\\logs\\nmq"},"source":"commerce-nmqv3-console-nmqv3worker-59786bdfb-jzl7g","kube_namespace":"my-qa-commerce-nmqv3","kube_container_name":"commerce-nmqv3-console-nmqv3worker"}</t>
  </si>
  <si>
    <t>1710812525355344205_cd14584a</t>
  </si>
  <si>
    <t>{"time":"2024-03-19T01:42:12.561866991Z","stream":"stdout","_ts":"2024-03-19T01:42:12.5616418Z","_msg":"2024-03-19T01:42:12.5615171Z [Information] 目標角標序號：101，unapplyTag執行完成","_lvl":"Information","_srctx":"NMQ.Core.Router.ProcessPool.WorkerProcessPool","_lt":"Common","_hid":"commerce-nmqv3-console-nmqv3worker-59786bdfb-jzl7g","_props":{"TaskId":"c78ae678-c992-4838-8898-560503bf6687","SourceId":"","JobName":"ProductBadgeArchiveJob","GroupName":"commerce-nmqv3.group1","CorrelationId":"c78ae678-c992-4838-8898-560503bf6687","LogRootPath":"D:\\logs\\nmq"},"source":"commerce-nmqv3-console-nmqv3worker-59786bdfb-jzl7g","kube_namespace":"my-qa-commerce-nmqv3","kube_container_name":"commerce-nmqv3-console-nmqv3worker"}</t>
  </si>
  <si>
    <t>1710812532561866991</t>
  </si>
  <si>
    <t>1710812532561866991_ee0a919c</t>
  </si>
  <si>
    <t>{"time":"2024-03-19T01:42:06.852329375Z","stream":"stdout","_ts":"2024-03-19T01:42:06.8522389Z","_msg":"2024-03-19T01:42:06.8520717Z [Information] 即將進行解綁作業...","_lvl":"Information","_srctx":"NMQ.Core.Router.ProcessPool.WorkerProcessPool","_lt":"Common","_hid":"commerce-nmqv3-console-nmqv3worker-59786bdfb-jzl7g","_props":{"TaskId":"c78ae678-c992-4838-8898-560503bf6687","SourceId":"","JobName":"ProductBadgeArchiveJob","GroupName":"commerce-nmqv3.group1","CorrelationId":"c78ae678-c992-4838-8898-560503bf6687","LogRootPath":"D:\\logs\\nmq"},"source":"commerce-nmqv3-console-nmqv3worker-59786bdfb-jzl7g","kube_namespace":"my-qa-commerce-nmqv3","kube_container_name":"commerce-nmqv3-console-nmqv3worker"}</t>
  </si>
  <si>
    <t>1710812526852329375</t>
  </si>
  <si>
    <t>1710812526852329375_5a9e0aab</t>
  </si>
  <si>
    <t>{"time":"2024-03-19T01:42:12.656444458Z","stream":"stdout","_ts":"2024-03-19T01:42:12.6562598Z","_msg":"2024-03-19T01:42:12.6561242Z [Information] Get Tagging Data API Result : ItemId : 3659 ItemType : product TagValues : ","_lvl":"Information","_srctx":"NMQ.Core.Router.ProcessPool.WorkerProcessPool","_lt":"Common","_hid":"commerce-nmqv3-console-nmqv3worker-59786bdfb-jzl7g","_props":{"TaskId":"c78ae678-c992-4838-8898-560503bf6687","SourceId":"","JobName":"ProductBadgeArchiveJob","GroupName":"commerce-nmqv3.group1","CorrelationId":"c78ae678-c992-4838-8898-560503bf6687","LogRootPath":"D:\\logs\\nmq"},"source":"commerce-nmqv3-console-nmqv3worker-59786bdfb-jzl7g","kube_namespace":"my-qa-commerce-nmqv3","kube_container_name":"commerce-nmqv3-console-nmqv3worker"}</t>
  </si>
  <si>
    <t>1710812532656444458_bd5d1ef3</t>
  </si>
  <si>
    <t>一個角標處理100個商品頁</t>
    <phoneticPr fontId="18" type="noConversion"/>
  </si>
  <si>
    <t>1000預估(s)</t>
    <phoneticPr fontId="18" type="noConversion"/>
  </si>
  <si>
    <t>2000預估(s)</t>
    <phoneticPr fontId="18" type="noConversion"/>
  </si>
  <si>
    <t>平均每個商品時間(s)</t>
    <phoneticPr fontId="18" type="noConversion"/>
  </si>
  <si>
    <t>1000個角標1000個商品頁</t>
    <phoneticPr fontId="18" type="noConversion"/>
  </si>
  <si>
    <t>(A)</t>
    <phoneticPr fontId="18" type="noConversion"/>
  </si>
  <si>
    <t>(B)</t>
    <phoneticPr fontId="18" type="noConversion"/>
  </si>
  <si>
    <t>每個角標每個商品頁(s)</t>
    <phoneticPr fontId="18" type="noConversion"/>
  </si>
  <si>
    <t>RPS(每秒處理幾個角標的Request)</t>
    <phoneticPr fontId="18" type="noConversion"/>
  </si>
  <si>
    <t>每個角標處理商品頁時間(s)</t>
    <phoneticPr fontId="18" type="noConversion"/>
  </si>
  <si>
    <t>02:29:48.2945551Z [Information] !!!!!!!!開始解綁!!!!!!!!!!!</t>
    <phoneticPr fontId="18" type="noConversion"/>
  </si>
  <si>
    <t>02:29:54.4969772Z [Information] 目標角標序號：102，unapplyTag執行完成</t>
    <phoneticPr fontId="18" type="noConversion"/>
  </si>
  <si>
    <t>6.2秒</t>
    <phoneticPr fontId="18" type="noConversion"/>
  </si>
  <si>
    <t xml:space="preserve">02:49:05.6951087Z [Information] 開始查詢!!!!!!!!!!!!!!!!!!!!!!                                                                                                                    </t>
    <phoneticPr fontId="18" type="noConversion"/>
  </si>
  <si>
    <t>02:49:05.9759661Z [Information] 成功取得角標商品頁列表，ProductBadgeId:103，API回傳數量:100</t>
    <phoneticPr fontId="18" type="noConversion"/>
  </si>
  <si>
    <t>0.3秒</t>
    <phoneticPr fontId="18" type="noConversion"/>
  </si>
  <si>
    <t>02:49:11.8164566Z [Information] !!!!!!!!開始檢查!!!!!!!!!!!</t>
    <phoneticPr fontId="18" type="noConversion"/>
  </si>
  <si>
    <t>02:49:11.9108031Z [Information] Get Tagging Data API Result : ItemId : 3659 ItemType : product TagValues :</t>
    <phoneticPr fontId="18" type="noConversion"/>
  </si>
  <si>
    <t>0.1秒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</si>
</sst>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;@"/>
    <numFmt numFmtId="177" formatCode="[$-409]m/d/yy\ h:mm\ AM/PM;@"/>
    <numFmt numFmtId="181" formatCode="0.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81" fontId="19" fillId="0" borderId="12" xfId="0" applyNumberFormat="1" applyFont="1" applyBorder="1" applyAlignment="1">
      <alignment horizontal="center" vertical="center"/>
    </xf>
    <xf numFmtId="181" fontId="19" fillId="0" borderId="10" xfId="0" applyNumberFormat="1" applyFont="1" applyBorder="1" applyAlignment="1">
      <alignment horizontal="center" vertical="center"/>
    </xf>
    <xf numFmtId="2" fontId="19" fillId="0" borderId="12" xfId="0" applyNumberFormat="1" applyFont="1" applyBorder="1" applyAlignment="1">
      <alignment horizontal="center" vertical="center"/>
    </xf>
    <xf numFmtId="2" fontId="19" fillId="33" borderId="12" xfId="0" applyNumberFormat="1" applyFont="1" applyFill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81" fontId="19" fillId="33" borderId="10" xfId="0" applyNumberFormat="1" applyFont="1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W85"/>
  <sheetViews>
    <sheetView workbookViewId="0">
      <selection activeCell="D86" sqref="D86"/>
    </sheetView>
  </sheetViews>
  <sheetFormatPr defaultRowHeight="16.2" x14ac:dyDescent="0.3"/>
  <cols>
    <col min="1" max="1" width="15.88671875" customWidth="1"/>
    <col min="2" max="4" width="21.21875" customWidth="1"/>
    <col min="5" max="5" width="229.33203125" customWidth="1"/>
    <col min="6" max="6" width="42.6640625" customWidth="1"/>
    <col min="7" max="7" width="33.109375" customWidth="1"/>
    <col min="18" max="18" width="34.77734375" customWidth="1"/>
    <col min="19" max="19" width="24.5546875" customWidth="1"/>
    <col min="20" max="20" width="20.5546875" style="3" customWidth="1"/>
    <col min="21" max="21" width="17.33203125" customWidth="1"/>
    <col min="22" max="22" width="30.77734375" customWidth="1"/>
    <col min="23" max="23" width="17.21875" customWidth="1"/>
    <col min="25" max="25" width="13.33203125" bestFit="1" customWidth="1"/>
  </cols>
  <sheetData>
    <row r="1" spans="1:101" x14ac:dyDescent="0.3">
      <c r="A1" t="s">
        <v>0</v>
      </c>
      <c r="B1" t="s">
        <v>462</v>
      </c>
      <c r="C1" t="s">
        <v>463</v>
      </c>
      <c r="D1" t="s">
        <v>464</v>
      </c>
      <c r="E1" t="s">
        <v>322</v>
      </c>
      <c r="G1" t="s">
        <v>2</v>
      </c>
      <c r="H1" t="s">
        <v>3</v>
      </c>
      <c r="V1" t="s">
        <v>1</v>
      </c>
      <c r="W1">
        <v>1710756847467</v>
      </c>
      <c r="X1" t="e">
        <f>#REF!=INT((ROW(W1)-1)/2)</f>
        <v>#REF!</v>
      </c>
      <c r="Y1">
        <f>IF(MOD(ROW()-1, 2) = 0, (W2 -W1)/1000, "")</f>
        <v>-0.997</v>
      </c>
    </row>
    <row r="2" spans="1:101" x14ac:dyDescent="0.3">
      <c r="A2" t="s">
        <v>4</v>
      </c>
      <c r="B2">
        <v>1710756847467</v>
      </c>
      <c r="C2">
        <f>INT((ROW(B2))/2)</f>
        <v>1</v>
      </c>
      <c r="D2">
        <f>IF(MOD(ROW(), 2) = 0, (B3 -B2)/1000, "")</f>
        <v>-0.997</v>
      </c>
      <c r="E2" t="s">
        <v>318</v>
      </c>
      <c r="G2" s="1" t="s">
        <v>461</v>
      </c>
      <c r="H2" t="s">
        <v>5</v>
      </c>
      <c r="R2" t="str">
        <f>MID(E2, FIND("time"":""", E2) + 7, 23)</f>
        <v>2024-03-18T10:14:07.467</v>
      </c>
      <c r="S2" t="s">
        <v>403</v>
      </c>
      <c r="T2" s="3" t="str">
        <f>MID(S2, 12, 12)</f>
        <v>10:14:07.467</v>
      </c>
      <c r="U2" s="4">
        <v>0.42646990740740742</v>
      </c>
      <c r="V2">
        <v>1710756847467</v>
      </c>
      <c r="W2">
        <v>1710756846470</v>
      </c>
      <c r="X2">
        <f>INT((ROW(W2)-1)/2)</f>
        <v>0</v>
      </c>
      <c r="Y2" t="str">
        <f t="shared" ref="Y2:Y65" si="0">IF(MOD(ROW()-1, 2) = 0, (W3 -W2)/1000, "")</f>
        <v/>
      </c>
      <c r="AB2" t="str">
        <f t="shared" ref="AB2:BG2" si="1">MID(AB1, 12, 12)</f>
        <v/>
      </c>
      <c r="AC2" t="str">
        <f t="shared" si="1"/>
        <v/>
      </c>
      <c r="AD2" t="str">
        <f t="shared" si="1"/>
        <v/>
      </c>
      <c r="AE2" t="str">
        <f t="shared" si="1"/>
        <v/>
      </c>
      <c r="AF2" t="str">
        <f t="shared" si="1"/>
        <v/>
      </c>
      <c r="AG2" t="str">
        <f t="shared" si="1"/>
        <v/>
      </c>
      <c r="AH2" t="str">
        <f t="shared" si="1"/>
        <v/>
      </c>
      <c r="AI2" t="str">
        <f t="shared" si="1"/>
        <v/>
      </c>
      <c r="AJ2" t="str">
        <f t="shared" si="1"/>
        <v/>
      </c>
      <c r="AK2" t="str">
        <f t="shared" si="1"/>
        <v/>
      </c>
      <c r="AL2" t="str">
        <f t="shared" si="1"/>
        <v/>
      </c>
      <c r="AM2" t="str">
        <f t="shared" si="1"/>
        <v/>
      </c>
      <c r="AN2" t="str">
        <f t="shared" si="1"/>
        <v/>
      </c>
      <c r="AO2" t="str">
        <f t="shared" si="1"/>
        <v/>
      </c>
      <c r="AP2" t="str">
        <f t="shared" si="1"/>
        <v/>
      </c>
      <c r="AQ2" t="str">
        <f t="shared" si="1"/>
        <v/>
      </c>
      <c r="AR2" t="str">
        <f t="shared" si="1"/>
        <v/>
      </c>
      <c r="AS2" t="str">
        <f t="shared" si="1"/>
        <v/>
      </c>
      <c r="AT2" t="str">
        <f t="shared" si="1"/>
        <v/>
      </c>
      <c r="AU2" t="str">
        <f t="shared" si="1"/>
        <v/>
      </c>
      <c r="AV2" t="str">
        <f t="shared" si="1"/>
        <v/>
      </c>
      <c r="AW2" t="str">
        <f t="shared" si="1"/>
        <v/>
      </c>
      <c r="AX2" t="str">
        <f t="shared" si="1"/>
        <v/>
      </c>
      <c r="AY2" t="str">
        <f t="shared" si="1"/>
        <v/>
      </c>
      <c r="AZ2" t="str">
        <f t="shared" si="1"/>
        <v/>
      </c>
      <c r="BA2" t="str">
        <f t="shared" si="1"/>
        <v/>
      </c>
      <c r="BB2" t="str">
        <f t="shared" si="1"/>
        <v/>
      </c>
      <c r="BC2" t="str">
        <f t="shared" si="1"/>
        <v/>
      </c>
      <c r="BD2" t="str">
        <f t="shared" si="1"/>
        <v/>
      </c>
      <c r="BE2" t="str">
        <f t="shared" si="1"/>
        <v/>
      </c>
      <c r="BF2" t="str">
        <f t="shared" si="1"/>
        <v/>
      </c>
      <c r="BG2" t="str">
        <f t="shared" si="1"/>
        <v/>
      </c>
      <c r="BH2" t="str">
        <f t="shared" ref="BH2:CM2" si="2">MID(BH1, 12, 12)</f>
        <v/>
      </c>
      <c r="BI2" t="str">
        <f t="shared" si="2"/>
        <v/>
      </c>
      <c r="BJ2" t="str">
        <f t="shared" si="2"/>
        <v/>
      </c>
      <c r="BK2" t="str">
        <f t="shared" si="2"/>
        <v/>
      </c>
      <c r="BL2" t="str">
        <f t="shared" si="2"/>
        <v/>
      </c>
      <c r="BM2" t="str">
        <f t="shared" si="2"/>
        <v/>
      </c>
      <c r="BN2" t="str">
        <f t="shared" si="2"/>
        <v/>
      </c>
      <c r="BO2" t="str">
        <f t="shared" si="2"/>
        <v/>
      </c>
      <c r="BP2" t="str">
        <f t="shared" si="2"/>
        <v/>
      </c>
      <c r="BQ2" t="str">
        <f t="shared" si="2"/>
        <v/>
      </c>
      <c r="BR2" t="str">
        <f t="shared" si="2"/>
        <v/>
      </c>
      <c r="BS2" t="str">
        <f t="shared" si="2"/>
        <v/>
      </c>
      <c r="BT2" t="str">
        <f t="shared" si="2"/>
        <v/>
      </c>
      <c r="BU2" t="str">
        <f t="shared" si="2"/>
        <v/>
      </c>
      <c r="BV2" t="str">
        <f t="shared" si="2"/>
        <v/>
      </c>
      <c r="BW2" t="str">
        <f t="shared" si="2"/>
        <v/>
      </c>
      <c r="BX2" t="str">
        <f t="shared" si="2"/>
        <v/>
      </c>
      <c r="BY2" t="str">
        <f t="shared" si="2"/>
        <v/>
      </c>
      <c r="BZ2" t="str">
        <f t="shared" si="2"/>
        <v/>
      </c>
      <c r="CA2" t="str">
        <f t="shared" si="2"/>
        <v/>
      </c>
      <c r="CB2" t="str">
        <f t="shared" si="2"/>
        <v/>
      </c>
      <c r="CC2" t="str">
        <f t="shared" si="2"/>
        <v/>
      </c>
      <c r="CD2" t="str">
        <f t="shared" si="2"/>
        <v/>
      </c>
      <c r="CE2" t="str">
        <f t="shared" si="2"/>
        <v/>
      </c>
      <c r="CF2" t="str">
        <f t="shared" si="2"/>
        <v/>
      </c>
      <c r="CG2" t="str">
        <f t="shared" si="2"/>
        <v/>
      </c>
      <c r="CH2" t="str">
        <f t="shared" si="2"/>
        <v/>
      </c>
      <c r="CI2" t="str">
        <f t="shared" si="2"/>
        <v/>
      </c>
      <c r="CJ2" t="str">
        <f t="shared" si="2"/>
        <v/>
      </c>
      <c r="CK2" t="str">
        <f t="shared" si="2"/>
        <v/>
      </c>
      <c r="CL2" t="str">
        <f t="shared" si="2"/>
        <v/>
      </c>
      <c r="CM2" t="str">
        <f t="shared" si="2"/>
        <v/>
      </c>
      <c r="CN2" t="str">
        <f t="shared" ref="CN2:DS2" si="3">MID(CN1, 12, 12)</f>
        <v/>
      </c>
      <c r="CO2" t="str">
        <f t="shared" si="3"/>
        <v/>
      </c>
      <c r="CP2" t="str">
        <f t="shared" si="3"/>
        <v/>
      </c>
      <c r="CQ2" t="str">
        <f t="shared" si="3"/>
        <v/>
      </c>
      <c r="CR2" t="str">
        <f t="shared" si="3"/>
        <v/>
      </c>
      <c r="CS2" t="str">
        <f t="shared" si="3"/>
        <v/>
      </c>
      <c r="CT2" t="str">
        <f t="shared" si="3"/>
        <v/>
      </c>
      <c r="CU2" t="str">
        <f t="shared" si="3"/>
        <v/>
      </c>
      <c r="CV2" t="str">
        <f t="shared" si="3"/>
        <v/>
      </c>
      <c r="CW2" t="str">
        <f t="shared" si="3"/>
        <v/>
      </c>
    </row>
    <row r="3" spans="1:101" hidden="1" x14ac:dyDescent="0.3">
      <c r="A3" t="s">
        <v>6</v>
      </c>
      <c r="B3">
        <v>1710756846470</v>
      </c>
      <c r="C3">
        <f t="shared" ref="C3:C66" si="4">INT((ROW(B3))/2)</f>
        <v>1</v>
      </c>
      <c r="D3" t="str">
        <f t="shared" ref="D3:D66" si="5">IF(MOD(ROW(), 2) = 0, (B4 -B3)/1000, "")</f>
        <v/>
      </c>
      <c r="E3" t="s">
        <v>319</v>
      </c>
      <c r="G3" s="1" t="s">
        <v>7</v>
      </c>
      <c r="H3" t="s">
        <v>8</v>
      </c>
      <c r="R3" t="str">
        <f t="shared" ref="R3:R66" si="6">MID(E3, FIND("time"":""", E3) + 7, 23)</f>
        <v>2024-03-18T10:14:06.470</v>
      </c>
      <c r="S3" t="s">
        <v>324</v>
      </c>
      <c r="T3" s="3" t="str">
        <f t="shared" ref="T3:T66" si="7">MID(S3, 12, 12)</f>
        <v>10:14:06.470</v>
      </c>
      <c r="U3" s="2">
        <v>0.42646377314814815</v>
      </c>
      <c r="V3">
        <v>1710756846470</v>
      </c>
      <c r="W3">
        <v>1710756846393</v>
      </c>
      <c r="X3">
        <f t="shared" ref="X3:X66" si="8">INT((ROW(W3)-1)/2)</f>
        <v>1</v>
      </c>
      <c r="Y3">
        <f t="shared" si="0"/>
        <v>-0.92400000000000004</v>
      </c>
    </row>
    <row r="4" spans="1:101" x14ac:dyDescent="0.3">
      <c r="A4" t="s">
        <v>9</v>
      </c>
      <c r="B4">
        <v>1710756846393</v>
      </c>
      <c r="C4">
        <f t="shared" si="4"/>
        <v>2</v>
      </c>
      <c r="D4">
        <f t="shared" si="5"/>
        <v>-0.92400000000000004</v>
      </c>
      <c r="E4" t="s">
        <v>323</v>
      </c>
      <c r="G4" s="1" t="s">
        <v>10</v>
      </c>
      <c r="H4" t="s">
        <v>11</v>
      </c>
      <c r="R4" t="str">
        <f t="shared" si="6"/>
        <v>2024-03-18T10:14:06.393</v>
      </c>
      <c r="S4" t="s">
        <v>325</v>
      </c>
      <c r="T4" s="3" t="str">
        <f t="shared" si="7"/>
        <v>10:14:06.393</v>
      </c>
      <c r="U4" s="2">
        <v>0.42646288194444443</v>
      </c>
      <c r="V4">
        <v>1710756846393</v>
      </c>
      <c r="W4">
        <v>1710756845469</v>
      </c>
      <c r="X4">
        <f t="shared" si="8"/>
        <v>1</v>
      </c>
      <c r="Y4" t="str">
        <f t="shared" si="0"/>
        <v/>
      </c>
    </row>
    <row r="5" spans="1:101" hidden="1" x14ac:dyDescent="0.3">
      <c r="A5" t="s">
        <v>12</v>
      </c>
      <c r="B5">
        <v>1710756845469</v>
      </c>
      <c r="C5">
        <f t="shared" si="4"/>
        <v>2</v>
      </c>
      <c r="D5" t="str">
        <f t="shared" si="5"/>
        <v/>
      </c>
      <c r="E5" t="s">
        <v>13</v>
      </c>
      <c r="G5" s="1" t="s">
        <v>14</v>
      </c>
      <c r="H5" t="s">
        <v>15</v>
      </c>
      <c r="R5" t="str">
        <f t="shared" si="6"/>
        <v>2024-03-18T10:14:05.469</v>
      </c>
      <c r="S5" t="s">
        <v>326</v>
      </c>
      <c r="T5" s="3" t="str">
        <f t="shared" si="7"/>
        <v>10:14:05.469</v>
      </c>
      <c r="U5" s="2">
        <v>0.42645218749999997</v>
      </c>
      <c r="V5">
        <v>1710756845469</v>
      </c>
      <c r="W5">
        <v>1710756845402</v>
      </c>
      <c r="X5">
        <f t="shared" si="8"/>
        <v>2</v>
      </c>
      <c r="Y5">
        <f t="shared" si="0"/>
        <v>-0.83099999999999996</v>
      </c>
    </row>
    <row r="6" spans="1:101" x14ac:dyDescent="0.3">
      <c r="A6" t="s">
        <v>16</v>
      </c>
      <c r="B6">
        <v>1710756845402</v>
      </c>
      <c r="C6">
        <f t="shared" si="4"/>
        <v>3</v>
      </c>
      <c r="D6">
        <f t="shared" si="5"/>
        <v>-0.83099999999999996</v>
      </c>
      <c r="E6" t="s">
        <v>321</v>
      </c>
      <c r="G6" s="1" t="s">
        <v>17</v>
      </c>
      <c r="H6" t="s">
        <v>18</v>
      </c>
      <c r="R6" t="str">
        <f t="shared" si="6"/>
        <v>2024-03-18T10:14:05.402</v>
      </c>
      <c r="S6" t="s">
        <v>327</v>
      </c>
      <c r="T6" s="3" t="str">
        <f t="shared" si="7"/>
        <v>10:14:05.402</v>
      </c>
      <c r="U6" s="2">
        <v>0.42645141203703707</v>
      </c>
      <c r="V6">
        <v>1710756845402</v>
      </c>
      <c r="W6">
        <v>1710756844571</v>
      </c>
      <c r="X6">
        <f t="shared" si="8"/>
        <v>2</v>
      </c>
      <c r="Y6" t="str">
        <f t="shared" si="0"/>
        <v/>
      </c>
    </row>
    <row r="7" spans="1:101" hidden="1" x14ac:dyDescent="0.3">
      <c r="A7" t="s">
        <v>19</v>
      </c>
      <c r="B7">
        <v>1710756844571</v>
      </c>
      <c r="C7">
        <f t="shared" si="4"/>
        <v>3</v>
      </c>
      <c r="D7" t="str">
        <f t="shared" si="5"/>
        <v/>
      </c>
      <c r="E7" t="s">
        <v>320</v>
      </c>
      <c r="G7" s="1" t="s">
        <v>20</v>
      </c>
      <c r="H7" t="s">
        <v>21</v>
      </c>
      <c r="R7" t="str">
        <f t="shared" si="6"/>
        <v>2024-03-18T10:14:04.571</v>
      </c>
      <c r="S7" t="s">
        <v>328</v>
      </c>
      <c r="T7" s="3" t="str">
        <f t="shared" si="7"/>
        <v>10:14:04.571</v>
      </c>
      <c r="U7" s="2">
        <v>0.42644179398148152</v>
      </c>
      <c r="V7">
        <v>1710756844571</v>
      </c>
      <c r="W7">
        <v>1710756844489</v>
      </c>
      <c r="X7">
        <f t="shared" si="8"/>
        <v>3</v>
      </c>
      <c r="Y7">
        <f t="shared" si="0"/>
        <v>-0.90800000000000003</v>
      </c>
    </row>
    <row r="8" spans="1:101" x14ac:dyDescent="0.3">
      <c r="A8" t="s">
        <v>22</v>
      </c>
      <c r="B8">
        <v>1710756844489</v>
      </c>
      <c r="C8">
        <f t="shared" si="4"/>
        <v>4</v>
      </c>
      <c r="D8">
        <f t="shared" si="5"/>
        <v>-0.90800000000000003</v>
      </c>
      <c r="E8" t="s">
        <v>23</v>
      </c>
      <c r="G8" s="1" t="s">
        <v>24</v>
      </c>
      <c r="H8" t="s">
        <v>25</v>
      </c>
      <c r="R8" t="str">
        <f t="shared" si="6"/>
        <v>2024-03-18T10:14:04.489</v>
      </c>
      <c r="S8" t="s">
        <v>329</v>
      </c>
      <c r="T8" s="3" t="str">
        <f t="shared" si="7"/>
        <v>10:14:04.489</v>
      </c>
      <c r="U8" s="2">
        <v>0.42644084490740741</v>
      </c>
      <c r="V8">
        <v>1710756844489</v>
      </c>
      <c r="W8">
        <v>1710756843581</v>
      </c>
      <c r="X8">
        <f t="shared" si="8"/>
        <v>3</v>
      </c>
      <c r="Y8" t="str">
        <f t="shared" si="0"/>
        <v/>
      </c>
    </row>
    <row r="9" spans="1:101" hidden="1" x14ac:dyDescent="0.3">
      <c r="A9" t="s">
        <v>26</v>
      </c>
      <c r="B9">
        <v>1710756843581</v>
      </c>
      <c r="C9">
        <f t="shared" si="4"/>
        <v>4</v>
      </c>
      <c r="D9" t="str">
        <f t="shared" si="5"/>
        <v/>
      </c>
      <c r="E9" t="s">
        <v>27</v>
      </c>
      <c r="G9" s="1" t="s">
        <v>28</v>
      </c>
      <c r="H9" t="s">
        <v>29</v>
      </c>
      <c r="R9" t="str">
        <f t="shared" si="6"/>
        <v>2024-03-18T10:14:03.581</v>
      </c>
      <c r="S9" t="s">
        <v>330</v>
      </c>
      <c r="T9" s="3" t="str">
        <f t="shared" si="7"/>
        <v>10:14:03.581</v>
      </c>
      <c r="U9" s="2">
        <v>0.42643033564814814</v>
      </c>
      <c r="V9">
        <v>1710756843581</v>
      </c>
      <c r="W9">
        <v>1710756843509</v>
      </c>
      <c r="X9">
        <f t="shared" si="8"/>
        <v>4</v>
      </c>
      <c r="Y9">
        <f t="shared" si="0"/>
        <v>-0.94599999999999995</v>
      </c>
    </row>
    <row r="10" spans="1:101" x14ac:dyDescent="0.3">
      <c r="A10" t="s">
        <v>30</v>
      </c>
      <c r="B10">
        <v>1710756843509</v>
      </c>
      <c r="C10">
        <f t="shared" si="4"/>
        <v>5</v>
      </c>
      <c r="D10">
        <f t="shared" si="5"/>
        <v>-0.94599999999999995</v>
      </c>
      <c r="E10" t="s">
        <v>31</v>
      </c>
      <c r="G10" s="1" t="s">
        <v>32</v>
      </c>
      <c r="H10" t="s">
        <v>33</v>
      </c>
      <c r="R10" t="str">
        <f t="shared" si="6"/>
        <v>2024-03-18T10:14:03.509</v>
      </c>
      <c r="S10" t="s">
        <v>331</v>
      </c>
      <c r="T10" s="3" t="str">
        <f t="shared" si="7"/>
        <v>10:14:03.509</v>
      </c>
      <c r="U10" s="2">
        <v>0.4264295023148148</v>
      </c>
      <c r="V10">
        <v>1710756843509</v>
      </c>
      <c r="W10">
        <v>1710756842563</v>
      </c>
      <c r="X10">
        <f t="shared" si="8"/>
        <v>4</v>
      </c>
      <c r="Y10" t="str">
        <f t="shared" si="0"/>
        <v/>
      </c>
    </row>
    <row r="11" spans="1:101" hidden="1" x14ac:dyDescent="0.3">
      <c r="A11" t="s">
        <v>34</v>
      </c>
      <c r="B11">
        <v>1710756842563</v>
      </c>
      <c r="C11">
        <f t="shared" si="4"/>
        <v>5</v>
      </c>
      <c r="D11" t="str">
        <f t="shared" si="5"/>
        <v/>
      </c>
      <c r="E11" t="s">
        <v>35</v>
      </c>
      <c r="G11" s="1" t="s">
        <v>36</v>
      </c>
      <c r="H11" t="s">
        <v>37</v>
      </c>
      <c r="R11" t="str">
        <f t="shared" si="6"/>
        <v>2024-03-18T10:14:02.563</v>
      </c>
      <c r="S11" t="s">
        <v>332</v>
      </c>
      <c r="T11" s="3" t="str">
        <f t="shared" si="7"/>
        <v>10:14:02.563</v>
      </c>
      <c r="U11" s="4">
        <v>0.42641855324074074</v>
      </c>
      <c r="V11">
        <v>1710756842563</v>
      </c>
      <c r="W11">
        <v>1710756842489</v>
      </c>
      <c r="X11">
        <f t="shared" si="8"/>
        <v>5</v>
      </c>
      <c r="Y11">
        <f t="shared" si="0"/>
        <v>-1.079</v>
      </c>
    </row>
    <row r="12" spans="1:101" x14ac:dyDescent="0.3">
      <c r="A12" t="s">
        <v>38</v>
      </c>
      <c r="B12">
        <v>1710756842489</v>
      </c>
      <c r="C12">
        <f t="shared" si="4"/>
        <v>6</v>
      </c>
      <c r="D12">
        <f t="shared" si="5"/>
        <v>-1.079</v>
      </c>
      <c r="E12" t="s">
        <v>39</v>
      </c>
      <c r="G12" s="1" t="s">
        <v>40</v>
      </c>
      <c r="H12" t="s">
        <v>41</v>
      </c>
      <c r="R12" t="str">
        <f t="shared" si="6"/>
        <v>2024-03-18T10:14:02.489</v>
      </c>
      <c r="S12" t="s">
        <v>333</v>
      </c>
      <c r="T12" s="3" t="str">
        <f t="shared" si="7"/>
        <v>10:14:02.489</v>
      </c>
      <c r="U12" s="4">
        <v>0.42641769675925928</v>
      </c>
      <c r="V12">
        <v>1710756842489</v>
      </c>
      <c r="W12">
        <v>1710756841410</v>
      </c>
      <c r="X12">
        <f t="shared" si="8"/>
        <v>5</v>
      </c>
      <c r="Y12" t="str">
        <f t="shared" si="0"/>
        <v/>
      </c>
    </row>
    <row r="13" spans="1:101" hidden="1" x14ac:dyDescent="0.3">
      <c r="A13" t="s">
        <v>42</v>
      </c>
      <c r="B13">
        <v>1710756841410</v>
      </c>
      <c r="C13">
        <f t="shared" si="4"/>
        <v>6</v>
      </c>
      <c r="D13" t="str">
        <f t="shared" si="5"/>
        <v/>
      </c>
      <c r="E13" t="s">
        <v>43</v>
      </c>
      <c r="G13" s="1" t="s">
        <v>44</v>
      </c>
      <c r="H13" t="s">
        <v>45</v>
      </c>
      <c r="R13" t="str">
        <f t="shared" si="6"/>
        <v>2024-03-18T10:14:01.410</v>
      </c>
      <c r="S13" t="s">
        <v>334</v>
      </c>
      <c r="T13" s="3" t="str">
        <f t="shared" si="7"/>
        <v>10:14:01.410</v>
      </c>
      <c r="U13" s="4">
        <v>0.4264052083333334</v>
      </c>
      <c r="V13">
        <v>1710756841410</v>
      </c>
      <c r="W13">
        <v>1710756841301</v>
      </c>
      <c r="X13">
        <f t="shared" si="8"/>
        <v>6</v>
      </c>
      <c r="Y13">
        <f t="shared" si="0"/>
        <v>-1.0249999999999999</v>
      </c>
    </row>
    <row r="14" spans="1:101" x14ac:dyDescent="0.3">
      <c r="A14" t="s">
        <v>46</v>
      </c>
      <c r="B14">
        <v>1710756841301</v>
      </c>
      <c r="C14">
        <f t="shared" si="4"/>
        <v>7</v>
      </c>
      <c r="D14">
        <f t="shared" si="5"/>
        <v>-1.0249999999999999</v>
      </c>
      <c r="E14" t="s">
        <v>47</v>
      </c>
      <c r="G14" s="1" t="s">
        <v>48</v>
      </c>
      <c r="H14" t="s">
        <v>49</v>
      </c>
      <c r="R14" t="str">
        <f t="shared" si="6"/>
        <v>2024-03-18T10:14:01.301</v>
      </c>
      <c r="S14" t="s">
        <v>335</v>
      </c>
      <c r="T14" s="3" t="str">
        <f t="shared" si="7"/>
        <v>10:14:01.301</v>
      </c>
      <c r="U14" s="4">
        <v>0.42640394675925924</v>
      </c>
      <c r="V14">
        <v>1710756841301</v>
      </c>
      <c r="W14">
        <v>1710756840276</v>
      </c>
      <c r="X14">
        <f t="shared" si="8"/>
        <v>6</v>
      </c>
      <c r="Y14" t="str">
        <f t="shared" si="0"/>
        <v/>
      </c>
    </row>
    <row r="15" spans="1:101" hidden="1" x14ac:dyDescent="0.3">
      <c r="A15" t="s">
        <v>50</v>
      </c>
      <c r="B15">
        <v>1710756840276</v>
      </c>
      <c r="C15">
        <f t="shared" si="4"/>
        <v>7</v>
      </c>
      <c r="D15" t="str">
        <f t="shared" si="5"/>
        <v/>
      </c>
      <c r="E15" t="s">
        <v>51</v>
      </c>
      <c r="G15" s="1" t="s">
        <v>52</v>
      </c>
      <c r="H15" t="s">
        <v>53</v>
      </c>
      <c r="R15" t="str">
        <f t="shared" si="6"/>
        <v>2024-03-18T10:14:00.276</v>
      </c>
      <c r="S15" t="s">
        <v>336</v>
      </c>
      <c r="T15" s="3" t="str">
        <f t="shared" si="7"/>
        <v>10:14:00.276</v>
      </c>
      <c r="U15" s="4">
        <v>0.42639208333333328</v>
      </c>
      <c r="V15">
        <v>1710756840276</v>
      </c>
      <c r="W15">
        <v>1710756840197</v>
      </c>
      <c r="X15">
        <f t="shared" si="8"/>
        <v>7</v>
      </c>
      <c r="Y15">
        <f t="shared" si="0"/>
        <v>-0.91500000000000004</v>
      </c>
    </row>
    <row r="16" spans="1:101" x14ac:dyDescent="0.3">
      <c r="A16" t="s">
        <v>54</v>
      </c>
      <c r="B16">
        <v>1710756840197</v>
      </c>
      <c r="C16">
        <f t="shared" si="4"/>
        <v>8</v>
      </c>
      <c r="D16">
        <f t="shared" si="5"/>
        <v>-0.91500000000000004</v>
      </c>
      <c r="E16" t="s">
        <v>55</v>
      </c>
      <c r="G16" s="1" t="s">
        <v>56</v>
      </c>
      <c r="H16" t="s">
        <v>57</v>
      </c>
      <c r="R16" t="str">
        <f t="shared" si="6"/>
        <v>2024-03-18T10:14:00.197</v>
      </c>
      <c r="S16" t="s">
        <v>337</v>
      </c>
      <c r="T16" s="3" t="str">
        <f t="shared" si="7"/>
        <v>10:14:00.197</v>
      </c>
      <c r="U16" s="4">
        <v>0.42639116898148149</v>
      </c>
      <c r="V16">
        <v>1710756840197</v>
      </c>
      <c r="W16">
        <v>1710756839282</v>
      </c>
      <c r="X16">
        <f t="shared" si="8"/>
        <v>7</v>
      </c>
      <c r="Y16" t="str">
        <f t="shared" si="0"/>
        <v/>
      </c>
    </row>
    <row r="17" spans="1:25" hidden="1" x14ac:dyDescent="0.3">
      <c r="A17" t="s">
        <v>58</v>
      </c>
      <c r="B17">
        <v>1710756839282</v>
      </c>
      <c r="C17">
        <f t="shared" si="4"/>
        <v>8</v>
      </c>
      <c r="D17" t="str">
        <f t="shared" si="5"/>
        <v/>
      </c>
      <c r="E17" t="s">
        <v>59</v>
      </c>
      <c r="G17" s="1" t="s">
        <v>60</v>
      </c>
      <c r="H17" t="s">
        <v>61</v>
      </c>
      <c r="R17" t="str">
        <f t="shared" si="6"/>
        <v>2024-03-18T10:13:59.282</v>
      </c>
      <c r="S17" t="s">
        <v>338</v>
      </c>
      <c r="T17" s="3" t="str">
        <f t="shared" si="7"/>
        <v>10:13:59.282</v>
      </c>
      <c r="U17" s="4">
        <v>0.42638057870370372</v>
      </c>
      <c r="V17">
        <v>1710756839282</v>
      </c>
      <c r="W17">
        <v>1710756839193</v>
      </c>
      <c r="X17">
        <f t="shared" si="8"/>
        <v>8</v>
      </c>
      <c r="Y17">
        <f t="shared" si="0"/>
        <v>-1.0009999999999999</v>
      </c>
    </row>
    <row r="18" spans="1:25" x14ac:dyDescent="0.3">
      <c r="A18" t="s">
        <v>62</v>
      </c>
      <c r="B18">
        <v>1710756839193</v>
      </c>
      <c r="C18">
        <f t="shared" si="4"/>
        <v>9</v>
      </c>
      <c r="D18">
        <f t="shared" si="5"/>
        <v>-1.0009999999999999</v>
      </c>
      <c r="E18" t="s">
        <v>63</v>
      </c>
      <c r="G18" s="1" t="s">
        <v>64</v>
      </c>
      <c r="H18" t="s">
        <v>65</v>
      </c>
      <c r="R18" t="str">
        <f t="shared" si="6"/>
        <v>2024-03-18T10:13:59.193</v>
      </c>
      <c r="S18" t="s">
        <v>339</v>
      </c>
      <c r="T18" s="3" t="str">
        <f t="shared" si="7"/>
        <v>10:13:59.193</v>
      </c>
      <c r="U18" s="4">
        <v>0.4263795486111111</v>
      </c>
      <c r="V18">
        <v>1710756839193</v>
      </c>
      <c r="W18">
        <v>1710756838192</v>
      </c>
      <c r="X18">
        <f t="shared" si="8"/>
        <v>8</v>
      </c>
      <c r="Y18" t="str">
        <f t="shared" si="0"/>
        <v/>
      </c>
    </row>
    <row r="19" spans="1:25" hidden="1" x14ac:dyDescent="0.3">
      <c r="A19" t="s">
        <v>66</v>
      </c>
      <c r="B19">
        <v>1710756838192</v>
      </c>
      <c r="C19">
        <f t="shared" si="4"/>
        <v>9</v>
      </c>
      <c r="D19" t="str">
        <f t="shared" si="5"/>
        <v/>
      </c>
      <c r="E19" t="s">
        <v>67</v>
      </c>
      <c r="G19" s="1" t="s">
        <v>68</v>
      </c>
      <c r="H19" t="s">
        <v>69</v>
      </c>
      <c r="R19" t="str">
        <f t="shared" si="6"/>
        <v>2024-03-18T10:13:58.192</v>
      </c>
      <c r="S19" t="s">
        <v>340</v>
      </c>
      <c r="T19" s="3" t="str">
        <f t="shared" si="7"/>
        <v>10:13:58.192</v>
      </c>
      <c r="U19" s="4">
        <v>0.42636796296296298</v>
      </c>
      <c r="V19">
        <v>1710756838192</v>
      </c>
      <c r="W19">
        <v>1710756838093</v>
      </c>
      <c r="X19">
        <f t="shared" si="8"/>
        <v>9</v>
      </c>
      <c r="Y19">
        <f t="shared" si="0"/>
        <v>-0.95299999999999996</v>
      </c>
    </row>
    <row r="20" spans="1:25" x14ac:dyDescent="0.3">
      <c r="A20" t="s">
        <v>70</v>
      </c>
      <c r="B20">
        <v>1710756838093</v>
      </c>
      <c r="C20">
        <f t="shared" si="4"/>
        <v>10</v>
      </c>
      <c r="D20">
        <f t="shared" si="5"/>
        <v>-0.95299999999999996</v>
      </c>
      <c r="E20" t="s">
        <v>71</v>
      </c>
      <c r="G20" s="1" t="s">
        <v>72</v>
      </c>
      <c r="H20" t="s">
        <v>73</v>
      </c>
      <c r="R20" t="str">
        <f t="shared" si="6"/>
        <v>2024-03-18T10:13:58.093</v>
      </c>
      <c r="S20" t="s">
        <v>341</v>
      </c>
      <c r="T20" s="3" t="str">
        <f t="shared" si="7"/>
        <v>10:13:58.093</v>
      </c>
      <c r="U20" s="4">
        <v>0.42636681712962965</v>
      </c>
      <c r="V20">
        <v>1710756838093</v>
      </c>
      <c r="W20">
        <v>1710756837140</v>
      </c>
      <c r="X20">
        <f t="shared" si="8"/>
        <v>9</v>
      </c>
      <c r="Y20" t="str">
        <f t="shared" si="0"/>
        <v/>
      </c>
    </row>
    <row r="21" spans="1:25" hidden="1" x14ac:dyDescent="0.3">
      <c r="A21" t="s">
        <v>74</v>
      </c>
      <c r="B21">
        <v>1710756837140</v>
      </c>
      <c r="C21">
        <f t="shared" si="4"/>
        <v>10</v>
      </c>
      <c r="D21" t="str">
        <f t="shared" si="5"/>
        <v/>
      </c>
      <c r="E21" t="s">
        <v>75</v>
      </c>
      <c r="G21" s="1" t="s">
        <v>76</v>
      </c>
      <c r="H21" t="s">
        <v>77</v>
      </c>
      <c r="R21" t="str">
        <f t="shared" si="6"/>
        <v>2024-03-18T10:13:57.140</v>
      </c>
      <c r="S21" t="s">
        <v>342</v>
      </c>
      <c r="T21" s="3" t="str">
        <f t="shared" si="7"/>
        <v>10:13:57.140</v>
      </c>
      <c r="U21" s="4">
        <v>0.42635578703703703</v>
      </c>
      <c r="V21">
        <v>1710756837140</v>
      </c>
      <c r="W21">
        <v>1710756837066</v>
      </c>
      <c r="X21">
        <f t="shared" si="8"/>
        <v>10</v>
      </c>
      <c r="Y21">
        <f t="shared" si="0"/>
        <v>-0.94299999999999995</v>
      </c>
    </row>
    <row r="22" spans="1:25" x14ac:dyDescent="0.3">
      <c r="A22" t="s">
        <v>78</v>
      </c>
      <c r="B22">
        <v>1710756837066</v>
      </c>
      <c r="C22">
        <f t="shared" si="4"/>
        <v>11</v>
      </c>
      <c r="D22">
        <f t="shared" si="5"/>
        <v>-0.94299999999999995</v>
      </c>
      <c r="E22" t="s">
        <v>79</v>
      </c>
      <c r="G22" s="1" t="s">
        <v>80</v>
      </c>
      <c r="H22" t="s">
        <v>81</v>
      </c>
      <c r="R22" t="str">
        <f t="shared" si="6"/>
        <v>2024-03-18T10:13:57.066</v>
      </c>
      <c r="S22" t="s">
        <v>343</v>
      </c>
      <c r="T22" s="3" t="str">
        <f t="shared" si="7"/>
        <v>10:13:57.066</v>
      </c>
      <c r="U22" s="4">
        <v>0.42635493055555557</v>
      </c>
      <c r="V22">
        <v>1710756837066</v>
      </c>
      <c r="W22">
        <v>1710756836123</v>
      </c>
      <c r="X22">
        <f t="shared" si="8"/>
        <v>10</v>
      </c>
      <c r="Y22" t="str">
        <f t="shared" si="0"/>
        <v/>
      </c>
    </row>
    <row r="23" spans="1:25" hidden="1" x14ac:dyDescent="0.3">
      <c r="A23" t="s">
        <v>82</v>
      </c>
      <c r="B23">
        <v>1710756836123</v>
      </c>
      <c r="C23">
        <f t="shared" si="4"/>
        <v>11</v>
      </c>
      <c r="D23" t="str">
        <f t="shared" si="5"/>
        <v/>
      </c>
      <c r="E23" t="s">
        <v>83</v>
      </c>
      <c r="G23" s="1" t="s">
        <v>84</v>
      </c>
      <c r="H23" t="s">
        <v>85</v>
      </c>
      <c r="R23" t="str">
        <f t="shared" si="6"/>
        <v>2024-03-18T10:13:56.123</v>
      </c>
      <c r="S23" t="s">
        <v>344</v>
      </c>
      <c r="T23" s="3" t="str">
        <f t="shared" si="7"/>
        <v>10:13:56.123</v>
      </c>
      <c r="U23" s="4">
        <v>0.42634401620370371</v>
      </c>
      <c r="V23">
        <v>1710756836123</v>
      </c>
      <c r="W23">
        <v>1710756836052</v>
      </c>
      <c r="X23">
        <f t="shared" si="8"/>
        <v>11</v>
      </c>
      <c r="Y23">
        <f t="shared" si="0"/>
        <v>-0.92100000000000004</v>
      </c>
    </row>
    <row r="24" spans="1:25" x14ac:dyDescent="0.3">
      <c r="A24" t="s">
        <v>86</v>
      </c>
      <c r="B24">
        <v>1710756836052</v>
      </c>
      <c r="C24">
        <f t="shared" si="4"/>
        <v>12</v>
      </c>
      <c r="D24">
        <f t="shared" si="5"/>
        <v>-0.92100000000000004</v>
      </c>
      <c r="E24" t="s">
        <v>87</v>
      </c>
      <c r="G24" s="1" t="s">
        <v>88</v>
      </c>
      <c r="H24" t="s">
        <v>89</v>
      </c>
      <c r="R24" t="str">
        <f t="shared" si="6"/>
        <v>2024-03-18T10:13:56.052</v>
      </c>
      <c r="S24" t="s">
        <v>345</v>
      </c>
      <c r="T24" s="3" t="str">
        <f t="shared" si="7"/>
        <v>10:13:56.052</v>
      </c>
      <c r="U24" s="4">
        <v>0.42634319444444446</v>
      </c>
      <c r="V24">
        <v>1710756836052</v>
      </c>
      <c r="W24">
        <v>1710756835131</v>
      </c>
      <c r="X24">
        <f t="shared" si="8"/>
        <v>11</v>
      </c>
      <c r="Y24" t="str">
        <f t="shared" si="0"/>
        <v/>
      </c>
    </row>
    <row r="25" spans="1:25" hidden="1" x14ac:dyDescent="0.3">
      <c r="A25" t="s">
        <v>90</v>
      </c>
      <c r="B25">
        <v>1710756835131</v>
      </c>
      <c r="C25">
        <f t="shared" si="4"/>
        <v>12</v>
      </c>
      <c r="D25" t="str">
        <f t="shared" si="5"/>
        <v/>
      </c>
      <c r="E25" t="s">
        <v>91</v>
      </c>
      <c r="G25" s="1" t="s">
        <v>92</v>
      </c>
      <c r="H25" t="s">
        <v>93</v>
      </c>
      <c r="R25" t="str">
        <f t="shared" si="6"/>
        <v>2024-03-18T10:13:55.131</v>
      </c>
      <c r="S25" t="s">
        <v>346</v>
      </c>
      <c r="T25" s="3" t="str">
        <f t="shared" si="7"/>
        <v>10:13:55.131</v>
      </c>
      <c r="U25" t="s">
        <v>404</v>
      </c>
      <c r="V25">
        <v>1710756835131</v>
      </c>
      <c r="W25">
        <v>1710756834359</v>
      </c>
      <c r="X25">
        <f t="shared" si="8"/>
        <v>12</v>
      </c>
      <c r="Y25">
        <f t="shared" si="0"/>
        <v>-0.84499999999999997</v>
      </c>
    </row>
    <row r="26" spans="1:25" x14ac:dyDescent="0.3">
      <c r="A26" t="s">
        <v>94</v>
      </c>
      <c r="B26">
        <v>1710756834359</v>
      </c>
      <c r="C26">
        <f t="shared" si="4"/>
        <v>13</v>
      </c>
      <c r="D26">
        <f t="shared" si="5"/>
        <v>-0.84499999999999997</v>
      </c>
      <c r="E26" t="s">
        <v>95</v>
      </c>
      <c r="G26" s="1" t="s">
        <v>96</v>
      </c>
      <c r="H26" t="s">
        <v>97</v>
      </c>
      <c r="R26" t="str">
        <f t="shared" si="6"/>
        <v>2024-03-18T10:13:54.359</v>
      </c>
      <c r="S26" t="s">
        <v>347</v>
      </c>
      <c r="T26" s="3" t="str">
        <f t="shared" si="7"/>
        <v>10:13:54.359</v>
      </c>
      <c r="U26" t="s">
        <v>405</v>
      </c>
      <c r="V26">
        <v>1710756834359</v>
      </c>
      <c r="W26">
        <v>1710756833514</v>
      </c>
      <c r="X26">
        <f t="shared" si="8"/>
        <v>12</v>
      </c>
      <c r="Y26" t="str">
        <f t="shared" si="0"/>
        <v/>
      </c>
    </row>
    <row r="27" spans="1:25" hidden="1" x14ac:dyDescent="0.3">
      <c r="A27" t="s">
        <v>98</v>
      </c>
      <c r="B27">
        <v>1710756833514</v>
      </c>
      <c r="C27">
        <f t="shared" si="4"/>
        <v>13</v>
      </c>
      <c r="D27" t="str">
        <f t="shared" si="5"/>
        <v/>
      </c>
      <c r="E27" t="s">
        <v>99</v>
      </c>
      <c r="G27" s="1" t="s">
        <v>100</v>
      </c>
      <c r="H27" t="s">
        <v>101</v>
      </c>
      <c r="R27" t="str">
        <f t="shared" si="6"/>
        <v>2024-03-18T10:13:53.514</v>
      </c>
      <c r="S27" t="s">
        <v>348</v>
      </c>
      <c r="T27" s="3" t="str">
        <f t="shared" si="7"/>
        <v>10:13:53.514</v>
      </c>
      <c r="U27" t="s">
        <v>406</v>
      </c>
      <c r="V27">
        <v>1710756833514</v>
      </c>
      <c r="W27">
        <v>1710756833424</v>
      </c>
      <c r="X27">
        <f t="shared" si="8"/>
        <v>13</v>
      </c>
      <c r="Y27">
        <f t="shared" si="0"/>
        <v>-1</v>
      </c>
    </row>
    <row r="28" spans="1:25" x14ac:dyDescent="0.3">
      <c r="A28" t="s">
        <v>102</v>
      </c>
      <c r="B28">
        <v>1710756833424</v>
      </c>
      <c r="C28">
        <f t="shared" si="4"/>
        <v>14</v>
      </c>
      <c r="D28">
        <f t="shared" si="5"/>
        <v>-1</v>
      </c>
      <c r="E28" t="s">
        <v>103</v>
      </c>
      <c r="G28" s="1" t="s">
        <v>104</v>
      </c>
      <c r="H28" t="s">
        <v>105</v>
      </c>
      <c r="R28" t="str">
        <f t="shared" si="6"/>
        <v>2024-03-18T10:13:53.424</v>
      </c>
      <c r="S28" t="s">
        <v>349</v>
      </c>
      <c r="T28" s="3" t="str">
        <f t="shared" si="7"/>
        <v>10:13:53.424</v>
      </c>
      <c r="U28" t="s">
        <v>407</v>
      </c>
      <c r="V28">
        <v>1710756833424</v>
      </c>
      <c r="W28">
        <v>1710756832424</v>
      </c>
      <c r="X28">
        <f t="shared" si="8"/>
        <v>13</v>
      </c>
      <c r="Y28" t="str">
        <f t="shared" si="0"/>
        <v/>
      </c>
    </row>
    <row r="29" spans="1:25" hidden="1" x14ac:dyDescent="0.3">
      <c r="A29" t="s">
        <v>106</v>
      </c>
      <c r="B29">
        <v>1710756832424</v>
      </c>
      <c r="C29">
        <f t="shared" si="4"/>
        <v>14</v>
      </c>
      <c r="D29" t="str">
        <f t="shared" si="5"/>
        <v/>
      </c>
      <c r="E29" t="s">
        <v>107</v>
      </c>
      <c r="G29" s="1" t="s">
        <v>108</v>
      </c>
      <c r="H29" t="s">
        <v>109</v>
      </c>
      <c r="R29" t="str">
        <f t="shared" si="6"/>
        <v>2024-03-18T10:13:52.424</v>
      </c>
      <c r="S29" t="s">
        <v>350</v>
      </c>
      <c r="T29" s="3" t="str">
        <f t="shared" si="7"/>
        <v>10:13:52.424</v>
      </c>
      <c r="U29" t="s">
        <v>408</v>
      </c>
      <c r="V29">
        <v>1710756832424</v>
      </c>
      <c r="W29">
        <v>1710756832347</v>
      </c>
      <c r="X29">
        <f t="shared" si="8"/>
        <v>14</v>
      </c>
      <c r="Y29">
        <f t="shared" si="0"/>
        <v>-0.86399999999999999</v>
      </c>
    </row>
    <row r="30" spans="1:25" x14ac:dyDescent="0.3">
      <c r="A30" t="s">
        <v>110</v>
      </c>
      <c r="B30">
        <v>1710756832347</v>
      </c>
      <c r="C30">
        <f t="shared" si="4"/>
        <v>15</v>
      </c>
      <c r="D30">
        <f t="shared" si="5"/>
        <v>-0.86399999999999999</v>
      </c>
      <c r="E30" t="s">
        <v>111</v>
      </c>
      <c r="G30" s="1" t="s">
        <v>112</v>
      </c>
      <c r="H30" t="s">
        <v>113</v>
      </c>
      <c r="R30" t="str">
        <f t="shared" si="6"/>
        <v>2024-03-18T10:13:52.347</v>
      </c>
      <c r="S30" t="s">
        <v>351</v>
      </c>
      <c r="T30" s="3" t="str">
        <f t="shared" si="7"/>
        <v>10:13:52.347</v>
      </c>
      <c r="U30" t="s">
        <v>409</v>
      </c>
      <c r="V30">
        <v>1710756832347</v>
      </c>
      <c r="W30">
        <v>1710756831483</v>
      </c>
      <c r="X30">
        <f t="shared" si="8"/>
        <v>14</v>
      </c>
      <c r="Y30" t="str">
        <f t="shared" si="0"/>
        <v/>
      </c>
    </row>
    <row r="31" spans="1:25" hidden="1" x14ac:dyDescent="0.3">
      <c r="A31" t="s">
        <v>114</v>
      </c>
      <c r="B31">
        <v>1710756831483</v>
      </c>
      <c r="C31">
        <f t="shared" si="4"/>
        <v>15</v>
      </c>
      <c r="D31" t="str">
        <f t="shared" si="5"/>
        <v/>
      </c>
      <c r="E31" t="s">
        <v>115</v>
      </c>
      <c r="G31" s="1" t="s">
        <v>116</v>
      </c>
      <c r="H31" t="s">
        <v>117</v>
      </c>
      <c r="R31" t="str">
        <f t="shared" si="6"/>
        <v>2024-03-18T10:13:51.483</v>
      </c>
      <c r="S31" t="s">
        <v>352</v>
      </c>
      <c r="T31" s="3" t="str">
        <f t="shared" si="7"/>
        <v>10:13:51.483</v>
      </c>
      <c r="U31" t="s">
        <v>410</v>
      </c>
      <c r="V31">
        <v>1710756831483</v>
      </c>
      <c r="W31">
        <v>1710756831410</v>
      </c>
      <c r="X31">
        <f t="shared" si="8"/>
        <v>15</v>
      </c>
      <c r="Y31">
        <f t="shared" si="0"/>
        <v>-0.80800000000000005</v>
      </c>
    </row>
    <row r="32" spans="1:25" x14ac:dyDescent="0.3">
      <c r="A32" t="s">
        <v>118</v>
      </c>
      <c r="B32">
        <v>1710756831410</v>
      </c>
      <c r="C32">
        <f t="shared" si="4"/>
        <v>16</v>
      </c>
      <c r="D32">
        <f t="shared" si="5"/>
        <v>-0.80800000000000005</v>
      </c>
      <c r="E32" t="s">
        <v>119</v>
      </c>
      <c r="G32" s="1" t="s">
        <v>120</v>
      </c>
      <c r="H32" t="s">
        <v>121</v>
      </c>
      <c r="R32" t="str">
        <f t="shared" si="6"/>
        <v>2024-03-18T10:13:51.410</v>
      </c>
      <c r="S32" t="s">
        <v>353</v>
      </c>
      <c r="T32" s="3" t="str">
        <f t="shared" si="7"/>
        <v>10:13:51.410</v>
      </c>
      <c r="U32" t="s">
        <v>411</v>
      </c>
      <c r="V32">
        <v>1710756831410</v>
      </c>
      <c r="W32">
        <v>1710756830602</v>
      </c>
      <c r="X32">
        <f t="shared" si="8"/>
        <v>15</v>
      </c>
      <c r="Y32" t="str">
        <f t="shared" si="0"/>
        <v/>
      </c>
    </row>
    <row r="33" spans="1:25" hidden="1" x14ac:dyDescent="0.3">
      <c r="A33" t="s">
        <v>122</v>
      </c>
      <c r="B33">
        <v>1710756830602</v>
      </c>
      <c r="C33">
        <f t="shared" si="4"/>
        <v>16</v>
      </c>
      <c r="D33" t="str">
        <f t="shared" si="5"/>
        <v/>
      </c>
      <c r="E33" t="s">
        <v>123</v>
      </c>
      <c r="G33" s="1" t="s">
        <v>124</v>
      </c>
      <c r="H33" t="s">
        <v>125</v>
      </c>
      <c r="R33" t="str">
        <f t="shared" si="6"/>
        <v>2024-03-18T10:13:50.602</v>
      </c>
      <c r="S33" t="s">
        <v>354</v>
      </c>
      <c r="T33" s="3" t="str">
        <f t="shared" si="7"/>
        <v>10:13:50.602</v>
      </c>
      <c r="U33" t="s">
        <v>412</v>
      </c>
      <c r="V33">
        <v>1710756830602</v>
      </c>
      <c r="W33">
        <v>1710756830504</v>
      </c>
      <c r="X33">
        <f t="shared" si="8"/>
        <v>16</v>
      </c>
      <c r="Y33">
        <f t="shared" si="0"/>
        <v>-0.97899999999999998</v>
      </c>
    </row>
    <row r="34" spans="1:25" x14ac:dyDescent="0.3">
      <c r="A34" t="s">
        <v>126</v>
      </c>
      <c r="B34">
        <v>1710756830504</v>
      </c>
      <c r="C34">
        <f t="shared" si="4"/>
        <v>17</v>
      </c>
      <c r="D34">
        <f t="shared" si="5"/>
        <v>-0.97899999999999998</v>
      </c>
      <c r="E34" t="s">
        <v>127</v>
      </c>
      <c r="G34" s="1" t="s">
        <v>128</v>
      </c>
      <c r="H34" t="s">
        <v>129</v>
      </c>
      <c r="R34" t="str">
        <f t="shared" si="6"/>
        <v>2024-03-18T10:13:50.504</v>
      </c>
      <c r="S34" t="s">
        <v>355</v>
      </c>
      <c r="T34" s="3" t="str">
        <f t="shared" si="7"/>
        <v>10:13:50.504</v>
      </c>
      <c r="U34" t="s">
        <v>413</v>
      </c>
      <c r="V34">
        <v>1710756830504</v>
      </c>
      <c r="W34">
        <v>1710756829525</v>
      </c>
      <c r="X34">
        <f t="shared" si="8"/>
        <v>16</v>
      </c>
      <c r="Y34" t="str">
        <f t="shared" si="0"/>
        <v/>
      </c>
    </row>
    <row r="35" spans="1:25" hidden="1" x14ac:dyDescent="0.3">
      <c r="A35" t="s">
        <v>130</v>
      </c>
      <c r="B35">
        <v>1710756829525</v>
      </c>
      <c r="C35">
        <f t="shared" si="4"/>
        <v>17</v>
      </c>
      <c r="D35" t="str">
        <f t="shared" si="5"/>
        <v/>
      </c>
      <c r="E35" t="s">
        <v>131</v>
      </c>
      <c r="G35" s="1" t="s">
        <v>132</v>
      </c>
      <c r="H35" t="s">
        <v>133</v>
      </c>
      <c r="R35" t="str">
        <f t="shared" si="6"/>
        <v>2024-03-18T10:13:49.525</v>
      </c>
      <c r="S35" t="s">
        <v>356</v>
      </c>
      <c r="T35" s="3" t="str">
        <f t="shared" si="7"/>
        <v>10:13:49.525</v>
      </c>
      <c r="U35" t="s">
        <v>414</v>
      </c>
      <c r="V35">
        <v>1710756829525</v>
      </c>
      <c r="W35">
        <v>1710756829453</v>
      </c>
      <c r="X35">
        <f t="shared" si="8"/>
        <v>17</v>
      </c>
      <c r="Y35">
        <f t="shared" si="0"/>
        <v>-0.77</v>
      </c>
    </row>
    <row r="36" spans="1:25" x14ac:dyDescent="0.3">
      <c r="A36" t="s">
        <v>134</v>
      </c>
      <c r="B36">
        <v>1710756829453</v>
      </c>
      <c r="C36">
        <f t="shared" si="4"/>
        <v>18</v>
      </c>
      <c r="D36">
        <f t="shared" si="5"/>
        <v>-0.77</v>
      </c>
      <c r="E36" t="s">
        <v>135</v>
      </c>
      <c r="G36" s="1" t="s">
        <v>136</v>
      </c>
      <c r="H36" t="s">
        <v>137</v>
      </c>
      <c r="R36" t="str">
        <f t="shared" si="6"/>
        <v>2024-03-18T10:13:49.453</v>
      </c>
      <c r="S36" t="s">
        <v>357</v>
      </c>
      <c r="T36" s="3" t="str">
        <f t="shared" si="7"/>
        <v>10:13:49.453</v>
      </c>
      <c r="U36" t="s">
        <v>415</v>
      </c>
      <c r="V36">
        <v>1710756829453</v>
      </c>
      <c r="W36">
        <v>1710756828683</v>
      </c>
      <c r="X36">
        <f t="shared" si="8"/>
        <v>17</v>
      </c>
      <c r="Y36" t="str">
        <f t="shared" si="0"/>
        <v/>
      </c>
    </row>
    <row r="37" spans="1:25" hidden="1" x14ac:dyDescent="0.3">
      <c r="A37" t="s">
        <v>138</v>
      </c>
      <c r="B37">
        <v>1710756828683</v>
      </c>
      <c r="C37">
        <f t="shared" si="4"/>
        <v>18</v>
      </c>
      <c r="D37" t="str">
        <f t="shared" si="5"/>
        <v/>
      </c>
      <c r="E37" t="s">
        <v>139</v>
      </c>
      <c r="G37" s="1" t="s">
        <v>140</v>
      </c>
      <c r="H37" t="s">
        <v>141</v>
      </c>
      <c r="R37" t="str">
        <f t="shared" si="6"/>
        <v>2024-03-18T10:13:48.683</v>
      </c>
      <c r="S37" t="s">
        <v>358</v>
      </c>
      <c r="T37" s="3" t="str">
        <f t="shared" si="7"/>
        <v>10:13:48.683</v>
      </c>
      <c r="U37" t="s">
        <v>416</v>
      </c>
      <c r="V37">
        <v>1710756828683</v>
      </c>
      <c r="W37">
        <v>1710756828600</v>
      </c>
      <c r="X37">
        <f t="shared" si="8"/>
        <v>18</v>
      </c>
      <c r="Y37">
        <f t="shared" si="0"/>
        <v>-0.77300000000000002</v>
      </c>
    </row>
    <row r="38" spans="1:25" x14ac:dyDescent="0.3">
      <c r="A38" t="s">
        <v>142</v>
      </c>
      <c r="B38">
        <v>1710756828600</v>
      </c>
      <c r="C38">
        <f t="shared" si="4"/>
        <v>19</v>
      </c>
      <c r="D38">
        <f t="shared" si="5"/>
        <v>-0.77300000000000002</v>
      </c>
      <c r="E38" t="s">
        <v>143</v>
      </c>
      <c r="G38" s="1" t="s">
        <v>144</v>
      </c>
      <c r="H38" t="s">
        <v>145</v>
      </c>
      <c r="R38" t="str">
        <f t="shared" si="6"/>
        <v>2024-03-18T10:13:48.600</v>
      </c>
      <c r="S38" t="s">
        <v>359</v>
      </c>
      <c r="T38" s="3" t="str">
        <f t="shared" si="7"/>
        <v>10:13:48.600</v>
      </c>
      <c r="U38" t="s">
        <v>417</v>
      </c>
      <c r="V38">
        <v>1710756828600</v>
      </c>
      <c r="W38">
        <v>1710756827827</v>
      </c>
      <c r="X38">
        <f t="shared" si="8"/>
        <v>18</v>
      </c>
      <c r="Y38" t="str">
        <f t="shared" si="0"/>
        <v/>
      </c>
    </row>
    <row r="39" spans="1:25" hidden="1" x14ac:dyDescent="0.3">
      <c r="A39" t="s">
        <v>146</v>
      </c>
      <c r="B39">
        <v>1710756827827</v>
      </c>
      <c r="C39">
        <f t="shared" si="4"/>
        <v>19</v>
      </c>
      <c r="D39" t="str">
        <f t="shared" si="5"/>
        <v/>
      </c>
      <c r="E39" t="s">
        <v>147</v>
      </c>
      <c r="G39" s="1" t="s">
        <v>148</v>
      </c>
      <c r="H39" t="s">
        <v>149</v>
      </c>
      <c r="R39" t="str">
        <f t="shared" si="6"/>
        <v>2024-03-18T10:13:47.827</v>
      </c>
      <c r="S39" t="s">
        <v>360</v>
      </c>
      <c r="T39" s="3" t="str">
        <f t="shared" si="7"/>
        <v>10:13:47.827</v>
      </c>
      <c r="U39" t="s">
        <v>418</v>
      </c>
      <c r="V39">
        <v>1710756827827</v>
      </c>
      <c r="W39">
        <v>1710756827734</v>
      </c>
      <c r="X39">
        <f t="shared" si="8"/>
        <v>19</v>
      </c>
      <c r="Y39">
        <f t="shared" si="0"/>
        <v>-1.0029999999999999</v>
      </c>
    </row>
    <row r="40" spans="1:25" x14ac:dyDescent="0.3">
      <c r="A40" t="s">
        <v>150</v>
      </c>
      <c r="B40">
        <v>1710756827734</v>
      </c>
      <c r="C40">
        <f t="shared" si="4"/>
        <v>20</v>
      </c>
      <c r="D40">
        <f t="shared" si="5"/>
        <v>-1.0029999999999999</v>
      </c>
      <c r="E40" t="s">
        <v>151</v>
      </c>
      <c r="G40" s="1" t="s">
        <v>152</v>
      </c>
      <c r="H40" t="s">
        <v>153</v>
      </c>
      <c r="R40" t="str">
        <f t="shared" si="6"/>
        <v>2024-03-18T10:13:47.734</v>
      </c>
      <c r="S40" t="s">
        <v>361</v>
      </c>
      <c r="T40" s="3" t="str">
        <f t="shared" si="7"/>
        <v>10:13:47.734</v>
      </c>
      <c r="U40" t="s">
        <v>419</v>
      </c>
      <c r="V40">
        <v>1710756827734</v>
      </c>
      <c r="W40">
        <v>1710756826731</v>
      </c>
      <c r="X40">
        <f t="shared" si="8"/>
        <v>19</v>
      </c>
      <c r="Y40" t="str">
        <f t="shared" si="0"/>
        <v/>
      </c>
    </row>
    <row r="41" spans="1:25" hidden="1" x14ac:dyDescent="0.3">
      <c r="A41" t="s">
        <v>154</v>
      </c>
      <c r="B41">
        <v>1710756826731</v>
      </c>
      <c r="C41">
        <f t="shared" si="4"/>
        <v>20</v>
      </c>
      <c r="D41" t="str">
        <f t="shared" si="5"/>
        <v/>
      </c>
      <c r="E41" t="s">
        <v>155</v>
      </c>
      <c r="G41" s="1" t="s">
        <v>156</v>
      </c>
      <c r="H41" t="s">
        <v>157</v>
      </c>
      <c r="R41" t="str">
        <f t="shared" si="6"/>
        <v>2024-03-18T10:13:46.731</v>
      </c>
      <c r="S41" t="s">
        <v>362</v>
      </c>
      <c r="T41" s="3" t="str">
        <f t="shared" si="7"/>
        <v>10:13:46.731</v>
      </c>
      <c r="U41" t="s">
        <v>420</v>
      </c>
      <c r="V41">
        <v>1710756826731</v>
      </c>
      <c r="W41">
        <v>1710756826656</v>
      </c>
      <c r="X41">
        <f t="shared" si="8"/>
        <v>20</v>
      </c>
      <c r="Y41">
        <f t="shared" si="0"/>
        <v>-1.069</v>
      </c>
    </row>
    <row r="42" spans="1:25" x14ac:dyDescent="0.3">
      <c r="A42" t="s">
        <v>158</v>
      </c>
      <c r="B42">
        <v>1710756826656</v>
      </c>
      <c r="C42">
        <f t="shared" si="4"/>
        <v>21</v>
      </c>
      <c r="D42">
        <f t="shared" si="5"/>
        <v>-1.069</v>
      </c>
      <c r="E42" t="s">
        <v>159</v>
      </c>
      <c r="G42" s="1" t="s">
        <v>160</v>
      </c>
      <c r="H42" t="s">
        <v>161</v>
      </c>
      <c r="R42" t="str">
        <f t="shared" si="6"/>
        <v>2024-03-18T10:13:46.656</v>
      </c>
      <c r="S42" t="s">
        <v>363</v>
      </c>
      <c r="T42" s="3" t="str">
        <f t="shared" si="7"/>
        <v>10:13:46.656</v>
      </c>
      <c r="U42" t="s">
        <v>421</v>
      </c>
      <c r="V42">
        <v>1710756826656</v>
      </c>
      <c r="W42">
        <v>1710756825587</v>
      </c>
      <c r="X42">
        <f t="shared" si="8"/>
        <v>20</v>
      </c>
      <c r="Y42" t="str">
        <f t="shared" si="0"/>
        <v/>
      </c>
    </row>
    <row r="43" spans="1:25" hidden="1" x14ac:dyDescent="0.3">
      <c r="A43" t="s">
        <v>162</v>
      </c>
      <c r="B43">
        <v>1710756825587</v>
      </c>
      <c r="C43">
        <f t="shared" si="4"/>
        <v>21</v>
      </c>
      <c r="D43" t="str">
        <f t="shared" si="5"/>
        <v/>
      </c>
      <c r="E43" t="s">
        <v>163</v>
      </c>
      <c r="G43" s="1" t="s">
        <v>164</v>
      </c>
      <c r="H43" t="s">
        <v>165</v>
      </c>
      <c r="R43" t="str">
        <f t="shared" si="6"/>
        <v>2024-03-18T10:13:45.587</v>
      </c>
      <c r="S43" t="s">
        <v>364</v>
      </c>
      <c r="T43" s="3" t="str">
        <f t="shared" si="7"/>
        <v>10:13:45.587</v>
      </c>
      <c r="U43" t="s">
        <v>422</v>
      </c>
      <c r="V43">
        <v>1710756825587</v>
      </c>
      <c r="W43">
        <v>1710756825374</v>
      </c>
      <c r="X43">
        <f t="shared" si="8"/>
        <v>21</v>
      </c>
      <c r="Y43">
        <f t="shared" si="0"/>
        <v>-1.3049999999999999</v>
      </c>
    </row>
    <row r="44" spans="1:25" x14ac:dyDescent="0.3">
      <c r="A44" t="s">
        <v>166</v>
      </c>
      <c r="B44">
        <v>1710756825374</v>
      </c>
      <c r="C44">
        <f t="shared" si="4"/>
        <v>22</v>
      </c>
      <c r="D44">
        <f t="shared" si="5"/>
        <v>-1.3049999999999999</v>
      </c>
      <c r="E44" t="s">
        <v>167</v>
      </c>
      <c r="G44" s="1" t="s">
        <v>168</v>
      </c>
      <c r="H44" t="s">
        <v>169</v>
      </c>
      <c r="R44" t="str">
        <f t="shared" si="6"/>
        <v>2024-03-18T10:13:45.374</v>
      </c>
      <c r="S44" t="s">
        <v>365</v>
      </c>
      <c r="T44" s="3" t="str">
        <f t="shared" si="7"/>
        <v>10:13:45.374</v>
      </c>
      <c r="U44" t="s">
        <v>423</v>
      </c>
      <c r="V44">
        <v>1710756825374</v>
      </c>
      <c r="W44">
        <v>1710756824069</v>
      </c>
      <c r="X44">
        <f t="shared" si="8"/>
        <v>21</v>
      </c>
      <c r="Y44" t="str">
        <f t="shared" si="0"/>
        <v/>
      </c>
    </row>
    <row r="45" spans="1:25" hidden="1" x14ac:dyDescent="0.3">
      <c r="A45" t="s">
        <v>170</v>
      </c>
      <c r="B45">
        <v>1710756824069</v>
      </c>
      <c r="C45">
        <f t="shared" si="4"/>
        <v>22</v>
      </c>
      <c r="D45" t="str">
        <f t="shared" si="5"/>
        <v/>
      </c>
      <c r="E45" t="s">
        <v>171</v>
      </c>
      <c r="G45" s="1" t="s">
        <v>172</v>
      </c>
      <c r="H45" t="s">
        <v>173</v>
      </c>
      <c r="R45" t="str">
        <f t="shared" si="6"/>
        <v>2024-03-18T10:13:44.069</v>
      </c>
      <c r="S45" t="s">
        <v>366</v>
      </c>
      <c r="T45" s="3" t="str">
        <f t="shared" si="7"/>
        <v>10:13:44.069</v>
      </c>
      <c r="U45" t="s">
        <v>424</v>
      </c>
      <c r="V45">
        <v>1710756824069</v>
      </c>
      <c r="W45">
        <v>1710756823996</v>
      </c>
      <c r="X45">
        <f t="shared" si="8"/>
        <v>22</v>
      </c>
      <c r="Y45">
        <f t="shared" si="0"/>
        <v>-1.171</v>
      </c>
    </row>
    <row r="46" spans="1:25" x14ac:dyDescent="0.3">
      <c r="A46" t="s">
        <v>174</v>
      </c>
      <c r="B46">
        <v>1710756823996</v>
      </c>
      <c r="C46">
        <f t="shared" si="4"/>
        <v>23</v>
      </c>
      <c r="D46">
        <f t="shared" si="5"/>
        <v>-1.171</v>
      </c>
      <c r="E46" t="s">
        <v>175</v>
      </c>
      <c r="G46" s="1" t="s">
        <v>176</v>
      </c>
      <c r="H46" t="s">
        <v>177</v>
      </c>
      <c r="R46" t="str">
        <f t="shared" si="6"/>
        <v>2024-03-18T10:13:43.996</v>
      </c>
      <c r="S46" t="s">
        <v>367</v>
      </c>
      <c r="T46" s="3" t="str">
        <f t="shared" si="7"/>
        <v>10:13:43.996</v>
      </c>
      <c r="U46" t="s">
        <v>425</v>
      </c>
      <c r="V46">
        <v>1710756823996</v>
      </c>
      <c r="W46">
        <v>1710756822825</v>
      </c>
      <c r="X46">
        <f t="shared" si="8"/>
        <v>22</v>
      </c>
      <c r="Y46" t="str">
        <f t="shared" si="0"/>
        <v/>
      </c>
    </row>
    <row r="47" spans="1:25" hidden="1" x14ac:dyDescent="0.3">
      <c r="A47" t="s">
        <v>178</v>
      </c>
      <c r="B47">
        <v>1710756822825</v>
      </c>
      <c r="C47">
        <f t="shared" si="4"/>
        <v>23</v>
      </c>
      <c r="D47" t="str">
        <f t="shared" si="5"/>
        <v/>
      </c>
      <c r="E47" t="s">
        <v>179</v>
      </c>
      <c r="G47" s="1" t="s">
        <v>180</v>
      </c>
      <c r="H47" t="s">
        <v>181</v>
      </c>
      <c r="R47" t="str">
        <f t="shared" si="6"/>
        <v>2024-03-18T10:13:42.825</v>
      </c>
      <c r="S47" t="s">
        <v>368</v>
      </c>
      <c r="T47" s="3" t="str">
        <f t="shared" si="7"/>
        <v>10:13:42.825</v>
      </c>
      <c r="U47" t="s">
        <v>426</v>
      </c>
      <c r="V47">
        <v>1710756822825</v>
      </c>
      <c r="W47">
        <v>1710756822668</v>
      </c>
      <c r="X47">
        <f t="shared" si="8"/>
        <v>23</v>
      </c>
      <c r="Y47">
        <f t="shared" si="0"/>
        <v>-1.0049999999999999</v>
      </c>
    </row>
    <row r="48" spans="1:25" x14ac:dyDescent="0.3">
      <c r="A48" t="s">
        <v>182</v>
      </c>
      <c r="B48">
        <v>1710756822668</v>
      </c>
      <c r="C48">
        <f t="shared" si="4"/>
        <v>24</v>
      </c>
      <c r="D48">
        <f t="shared" si="5"/>
        <v>-1.0049999999999999</v>
      </c>
      <c r="E48" t="s">
        <v>183</v>
      </c>
      <c r="G48" s="1" t="s">
        <v>184</v>
      </c>
      <c r="H48" t="s">
        <v>185</v>
      </c>
      <c r="R48" t="str">
        <f t="shared" si="6"/>
        <v>2024-03-18T10:13:42.668</v>
      </c>
      <c r="S48" t="s">
        <v>369</v>
      </c>
      <c r="T48" s="3" t="str">
        <f t="shared" si="7"/>
        <v>10:13:42.668</v>
      </c>
      <c r="U48" t="s">
        <v>427</v>
      </c>
      <c r="V48">
        <v>1710756822668</v>
      </c>
      <c r="W48">
        <v>1710756821663</v>
      </c>
      <c r="X48">
        <f t="shared" si="8"/>
        <v>23</v>
      </c>
      <c r="Y48" t="str">
        <f t="shared" si="0"/>
        <v/>
      </c>
    </row>
    <row r="49" spans="1:25" hidden="1" x14ac:dyDescent="0.3">
      <c r="A49" t="s">
        <v>186</v>
      </c>
      <c r="B49">
        <v>1710756821663</v>
      </c>
      <c r="C49">
        <f t="shared" si="4"/>
        <v>24</v>
      </c>
      <c r="D49" t="str">
        <f t="shared" si="5"/>
        <v/>
      </c>
      <c r="E49" t="s">
        <v>187</v>
      </c>
      <c r="G49" s="1" t="s">
        <v>188</v>
      </c>
      <c r="H49" t="s">
        <v>189</v>
      </c>
      <c r="R49" t="str">
        <f t="shared" si="6"/>
        <v>2024-03-18T10:13:41.663</v>
      </c>
      <c r="S49" t="s">
        <v>370</v>
      </c>
      <c r="T49" s="3" t="str">
        <f t="shared" si="7"/>
        <v>10:13:41.663</v>
      </c>
      <c r="U49" t="s">
        <v>428</v>
      </c>
      <c r="V49">
        <v>1710756821663</v>
      </c>
      <c r="W49">
        <v>1710756821559</v>
      </c>
      <c r="X49">
        <f t="shared" si="8"/>
        <v>24</v>
      </c>
      <c r="Y49">
        <f t="shared" si="0"/>
        <v>-1.2749999999999999</v>
      </c>
    </row>
    <row r="50" spans="1:25" x14ac:dyDescent="0.3">
      <c r="A50" t="s">
        <v>190</v>
      </c>
      <c r="B50">
        <v>1710756821559</v>
      </c>
      <c r="C50">
        <f t="shared" si="4"/>
        <v>25</v>
      </c>
      <c r="D50">
        <f t="shared" si="5"/>
        <v>-1.2749999999999999</v>
      </c>
      <c r="E50" t="s">
        <v>191</v>
      </c>
      <c r="G50" s="1" t="s">
        <v>192</v>
      </c>
      <c r="H50" t="s">
        <v>193</v>
      </c>
      <c r="R50" t="str">
        <f t="shared" si="6"/>
        <v>2024-03-18T10:13:41.559</v>
      </c>
      <c r="S50" t="s">
        <v>371</v>
      </c>
      <c r="T50" s="3" t="str">
        <f t="shared" si="7"/>
        <v>10:13:41.559</v>
      </c>
      <c r="U50" t="s">
        <v>429</v>
      </c>
      <c r="V50">
        <v>1710756821559</v>
      </c>
      <c r="W50">
        <v>1710756820284</v>
      </c>
      <c r="X50">
        <f t="shared" si="8"/>
        <v>24</v>
      </c>
      <c r="Y50" t="str">
        <f t="shared" si="0"/>
        <v/>
      </c>
    </row>
    <row r="51" spans="1:25" hidden="1" x14ac:dyDescent="0.3">
      <c r="A51" t="s">
        <v>194</v>
      </c>
      <c r="B51">
        <v>1710756820284</v>
      </c>
      <c r="C51">
        <f t="shared" si="4"/>
        <v>25</v>
      </c>
      <c r="D51" t="str">
        <f t="shared" si="5"/>
        <v/>
      </c>
      <c r="E51" t="s">
        <v>195</v>
      </c>
      <c r="G51" s="1" t="s">
        <v>196</v>
      </c>
      <c r="H51" t="s">
        <v>197</v>
      </c>
      <c r="R51" t="str">
        <f t="shared" si="6"/>
        <v>2024-03-18T10:13:40.284</v>
      </c>
      <c r="S51" t="s">
        <v>372</v>
      </c>
      <c r="T51" s="3" t="str">
        <f t="shared" si="7"/>
        <v>10:13:40.284</v>
      </c>
      <c r="U51" t="s">
        <v>430</v>
      </c>
      <c r="V51">
        <v>1710756820284</v>
      </c>
      <c r="W51">
        <v>1710756820195</v>
      </c>
      <c r="X51">
        <f t="shared" si="8"/>
        <v>25</v>
      </c>
      <c r="Y51">
        <f t="shared" si="0"/>
        <v>-1.2749999999999999</v>
      </c>
    </row>
    <row r="52" spans="1:25" x14ac:dyDescent="0.3">
      <c r="A52" t="s">
        <v>198</v>
      </c>
      <c r="B52">
        <v>1710756820195</v>
      </c>
      <c r="C52">
        <f t="shared" si="4"/>
        <v>26</v>
      </c>
      <c r="D52">
        <f t="shared" si="5"/>
        <v>-1.2749999999999999</v>
      </c>
      <c r="E52" t="s">
        <v>199</v>
      </c>
      <c r="G52" s="1" t="s">
        <v>200</v>
      </c>
      <c r="H52" t="s">
        <v>201</v>
      </c>
      <c r="R52" t="str">
        <f t="shared" si="6"/>
        <v>2024-03-18T10:13:40.195</v>
      </c>
      <c r="S52" t="s">
        <v>373</v>
      </c>
      <c r="T52" s="3" t="str">
        <f t="shared" si="7"/>
        <v>10:13:40.195</v>
      </c>
      <c r="U52" t="s">
        <v>431</v>
      </c>
      <c r="V52">
        <v>1710756820195</v>
      </c>
      <c r="W52">
        <v>1710756818920</v>
      </c>
      <c r="X52">
        <f t="shared" si="8"/>
        <v>25</v>
      </c>
      <c r="Y52" t="str">
        <f t="shared" si="0"/>
        <v/>
      </c>
    </row>
    <row r="53" spans="1:25" hidden="1" x14ac:dyDescent="0.3">
      <c r="A53" t="s">
        <v>202</v>
      </c>
      <c r="B53">
        <v>1710756818920</v>
      </c>
      <c r="C53">
        <f t="shared" si="4"/>
        <v>26</v>
      </c>
      <c r="D53" t="str">
        <f t="shared" si="5"/>
        <v/>
      </c>
      <c r="E53" t="s">
        <v>203</v>
      </c>
      <c r="G53" s="1" t="s">
        <v>204</v>
      </c>
      <c r="H53" t="s">
        <v>205</v>
      </c>
      <c r="R53" t="str">
        <f t="shared" si="6"/>
        <v>2024-03-18T10:13:38.920</v>
      </c>
      <c r="S53" t="s">
        <v>374</v>
      </c>
      <c r="T53" s="3" t="str">
        <f t="shared" si="7"/>
        <v>10:13:38.920</v>
      </c>
      <c r="U53" t="s">
        <v>432</v>
      </c>
      <c r="V53">
        <v>1710756818920</v>
      </c>
      <c r="W53">
        <v>1710756818674</v>
      </c>
      <c r="X53">
        <f t="shared" si="8"/>
        <v>26</v>
      </c>
      <c r="Y53">
        <f t="shared" si="0"/>
        <v>-1.163</v>
      </c>
    </row>
    <row r="54" spans="1:25" x14ac:dyDescent="0.3">
      <c r="A54" t="s">
        <v>206</v>
      </c>
      <c r="B54">
        <v>1710756818674</v>
      </c>
      <c r="C54">
        <f t="shared" si="4"/>
        <v>27</v>
      </c>
      <c r="D54">
        <f t="shared" si="5"/>
        <v>-1.163</v>
      </c>
      <c r="E54" t="s">
        <v>207</v>
      </c>
      <c r="G54" s="1" t="s">
        <v>208</v>
      </c>
      <c r="H54" t="s">
        <v>209</v>
      </c>
      <c r="R54" t="str">
        <f t="shared" si="6"/>
        <v>2024-03-18T10:13:38.674</v>
      </c>
      <c r="S54" t="s">
        <v>375</v>
      </c>
      <c r="T54" s="3" t="str">
        <f t="shared" si="7"/>
        <v>10:13:38.674</v>
      </c>
      <c r="U54" t="s">
        <v>433</v>
      </c>
      <c r="V54">
        <v>1710756818674</v>
      </c>
      <c r="W54">
        <v>1710756817511</v>
      </c>
      <c r="X54">
        <f t="shared" si="8"/>
        <v>26</v>
      </c>
      <c r="Y54" t="str">
        <f t="shared" si="0"/>
        <v/>
      </c>
    </row>
    <row r="55" spans="1:25" hidden="1" x14ac:dyDescent="0.3">
      <c r="A55" t="s">
        <v>210</v>
      </c>
      <c r="B55">
        <v>1710756817511</v>
      </c>
      <c r="C55">
        <f t="shared" si="4"/>
        <v>27</v>
      </c>
      <c r="D55" t="str">
        <f t="shared" si="5"/>
        <v/>
      </c>
      <c r="E55" t="s">
        <v>211</v>
      </c>
      <c r="G55" s="1" t="s">
        <v>212</v>
      </c>
      <c r="H55" t="s">
        <v>213</v>
      </c>
      <c r="R55" t="str">
        <f t="shared" si="6"/>
        <v>2024-03-18T10:13:37.511</v>
      </c>
      <c r="S55" t="s">
        <v>376</v>
      </c>
      <c r="T55" s="3" t="str">
        <f t="shared" si="7"/>
        <v>10:13:37.511</v>
      </c>
      <c r="U55" t="s">
        <v>434</v>
      </c>
      <c r="V55">
        <v>1710756817511</v>
      </c>
      <c r="W55">
        <v>1710756817441</v>
      </c>
      <c r="X55">
        <f t="shared" si="8"/>
        <v>27</v>
      </c>
      <c r="Y55">
        <f t="shared" si="0"/>
        <v>-0.79500000000000004</v>
      </c>
    </row>
    <row r="56" spans="1:25" x14ac:dyDescent="0.3">
      <c r="A56" t="s">
        <v>214</v>
      </c>
      <c r="B56">
        <v>1710756817441</v>
      </c>
      <c r="C56">
        <f t="shared" si="4"/>
        <v>28</v>
      </c>
      <c r="D56">
        <f t="shared" si="5"/>
        <v>-0.79500000000000004</v>
      </c>
      <c r="E56" t="s">
        <v>215</v>
      </c>
      <c r="G56" s="1" t="s">
        <v>216</v>
      </c>
      <c r="H56" t="s">
        <v>217</v>
      </c>
      <c r="R56" t="str">
        <f t="shared" si="6"/>
        <v>2024-03-18T10:13:37.441</v>
      </c>
      <c r="S56" t="s">
        <v>377</v>
      </c>
      <c r="T56" s="3" t="str">
        <f t="shared" si="7"/>
        <v>10:13:37.441</v>
      </c>
      <c r="U56" t="s">
        <v>435</v>
      </c>
      <c r="V56">
        <v>1710756817441</v>
      </c>
      <c r="W56">
        <v>1710756816646</v>
      </c>
      <c r="X56">
        <f t="shared" si="8"/>
        <v>27</v>
      </c>
      <c r="Y56" t="str">
        <f t="shared" si="0"/>
        <v/>
      </c>
    </row>
    <row r="57" spans="1:25" hidden="1" x14ac:dyDescent="0.3">
      <c r="A57" t="s">
        <v>218</v>
      </c>
      <c r="B57">
        <v>1710756816646</v>
      </c>
      <c r="C57">
        <f t="shared" si="4"/>
        <v>28</v>
      </c>
      <c r="D57" t="str">
        <f t="shared" si="5"/>
        <v/>
      </c>
      <c r="E57" t="s">
        <v>219</v>
      </c>
      <c r="G57" s="1" t="s">
        <v>220</v>
      </c>
      <c r="H57" t="s">
        <v>221</v>
      </c>
      <c r="R57" t="str">
        <f t="shared" si="6"/>
        <v>2024-03-18T10:13:36.646</v>
      </c>
      <c r="S57" t="s">
        <v>378</v>
      </c>
      <c r="T57" s="3" t="str">
        <f t="shared" si="7"/>
        <v>10:13:36.646</v>
      </c>
      <c r="U57" t="s">
        <v>436</v>
      </c>
      <c r="V57">
        <v>1710756816646</v>
      </c>
      <c r="W57">
        <v>1710756816566</v>
      </c>
      <c r="X57">
        <f t="shared" si="8"/>
        <v>28</v>
      </c>
      <c r="Y57">
        <f t="shared" si="0"/>
        <v>-0.79200000000000004</v>
      </c>
    </row>
    <row r="58" spans="1:25" x14ac:dyDescent="0.3">
      <c r="A58" t="s">
        <v>222</v>
      </c>
      <c r="B58">
        <v>1710756816566</v>
      </c>
      <c r="C58">
        <f t="shared" si="4"/>
        <v>29</v>
      </c>
      <c r="D58">
        <f t="shared" si="5"/>
        <v>-0.79200000000000004</v>
      </c>
      <c r="E58" t="s">
        <v>223</v>
      </c>
      <c r="G58" s="1" t="s">
        <v>224</v>
      </c>
      <c r="H58" t="s">
        <v>225</v>
      </c>
      <c r="R58" t="str">
        <f t="shared" si="6"/>
        <v>2024-03-18T10:13:36.566</v>
      </c>
      <c r="S58" t="s">
        <v>379</v>
      </c>
      <c r="T58" s="3" t="str">
        <f t="shared" si="7"/>
        <v>10:13:36.566</v>
      </c>
      <c r="U58" t="s">
        <v>437</v>
      </c>
      <c r="V58">
        <v>1710756816566</v>
      </c>
      <c r="W58">
        <v>1710756815774</v>
      </c>
      <c r="X58">
        <f t="shared" si="8"/>
        <v>28</v>
      </c>
      <c r="Y58" t="str">
        <f t="shared" si="0"/>
        <v/>
      </c>
    </row>
    <row r="59" spans="1:25" hidden="1" x14ac:dyDescent="0.3">
      <c r="A59" t="s">
        <v>226</v>
      </c>
      <c r="B59">
        <v>1710756815774</v>
      </c>
      <c r="C59">
        <f t="shared" si="4"/>
        <v>29</v>
      </c>
      <c r="D59" t="str">
        <f t="shared" si="5"/>
        <v/>
      </c>
      <c r="E59" t="s">
        <v>227</v>
      </c>
      <c r="G59" s="1" t="s">
        <v>228</v>
      </c>
      <c r="H59" t="s">
        <v>229</v>
      </c>
      <c r="R59" t="str">
        <f t="shared" si="6"/>
        <v>2024-03-18T10:13:35.774</v>
      </c>
      <c r="S59" t="s">
        <v>380</v>
      </c>
      <c r="T59" s="3" t="str">
        <f t="shared" si="7"/>
        <v>10:13:35.774</v>
      </c>
      <c r="U59" t="s">
        <v>438</v>
      </c>
      <c r="V59">
        <v>1710756815774</v>
      </c>
      <c r="W59">
        <v>1710756815697</v>
      </c>
      <c r="X59">
        <f t="shared" si="8"/>
        <v>29</v>
      </c>
      <c r="Y59">
        <f t="shared" si="0"/>
        <v>-0.84699999999999998</v>
      </c>
    </row>
    <row r="60" spans="1:25" x14ac:dyDescent="0.3">
      <c r="A60" t="s">
        <v>230</v>
      </c>
      <c r="B60">
        <v>1710756815697</v>
      </c>
      <c r="C60">
        <f t="shared" si="4"/>
        <v>30</v>
      </c>
      <c r="D60">
        <f t="shared" si="5"/>
        <v>-0.84699999999999998</v>
      </c>
      <c r="E60" t="s">
        <v>231</v>
      </c>
      <c r="G60" s="1" t="s">
        <v>232</v>
      </c>
      <c r="H60" t="s">
        <v>233</v>
      </c>
      <c r="R60" t="str">
        <f t="shared" si="6"/>
        <v>2024-03-18T10:13:35.697</v>
      </c>
      <c r="S60" t="s">
        <v>381</v>
      </c>
      <c r="T60" s="3" t="str">
        <f t="shared" si="7"/>
        <v>10:13:35.697</v>
      </c>
      <c r="U60" t="s">
        <v>439</v>
      </c>
      <c r="V60">
        <v>1710756815697</v>
      </c>
      <c r="W60">
        <v>1710756814850</v>
      </c>
      <c r="X60">
        <f t="shared" si="8"/>
        <v>29</v>
      </c>
      <c r="Y60" t="str">
        <f t="shared" si="0"/>
        <v/>
      </c>
    </row>
    <row r="61" spans="1:25" hidden="1" x14ac:dyDescent="0.3">
      <c r="A61" t="s">
        <v>234</v>
      </c>
      <c r="B61">
        <v>1710756814850</v>
      </c>
      <c r="C61">
        <f t="shared" si="4"/>
        <v>30</v>
      </c>
      <c r="D61" t="str">
        <f t="shared" si="5"/>
        <v/>
      </c>
      <c r="E61" t="s">
        <v>235</v>
      </c>
      <c r="G61" s="1" t="s">
        <v>236</v>
      </c>
      <c r="H61" t="s">
        <v>237</v>
      </c>
      <c r="R61" t="str">
        <f t="shared" si="6"/>
        <v>2024-03-18T10:13:34.850</v>
      </c>
      <c r="S61" t="s">
        <v>382</v>
      </c>
      <c r="T61" s="3" t="str">
        <f t="shared" si="7"/>
        <v>10:13:34.850</v>
      </c>
      <c r="U61" t="s">
        <v>440</v>
      </c>
      <c r="V61">
        <v>1710756814850</v>
      </c>
      <c r="W61">
        <v>1710756814775</v>
      </c>
      <c r="X61">
        <f t="shared" si="8"/>
        <v>30</v>
      </c>
      <c r="Y61">
        <f t="shared" si="0"/>
        <v>-0.85</v>
      </c>
    </row>
    <row r="62" spans="1:25" x14ac:dyDescent="0.3">
      <c r="A62" t="s">
        <v>238</v>
      </c>
      <c r="B62">
        <v>1710756814775</v>
      </c>
      <c r="C62">
        <f t="shared" si="4"/>
        <v>31</v>
      </c>
      <c r="D62">
        <f t="shared" si="5"/>
        <v>-0.85</v>
      </c>
      <c r="E62" t="s">
        <v>239</v>
      </c>
      <c r="G62" s="1" t="s">
        <v>240</v>
      </c>
      <c r="H62" t="s">
        <v>241</v>
      </c>
      <c r="R62" t="str">
        <f t="shared" si="6"/>
        <v>2024-03-18T10:13:34.775</v>
      </c>
      <c r="S62" t="s">
        <v>383</v>
      </c>
      <c r="T62" s="3" t="str">
        <f t="shared" si="7"/>
        <v>10:13:34.775</v>
      </c>
      <c r="U62" t="s">
        <v>441</v>
      </c>
      <c r="V62">
        <v>1710756814775</v>
      </c>
      <c r="W62">
        <v>1710756813925</v>
      </c>
      <c r="X62">
        <f t="shared" si="8"/>
        <v>30</v>
      </c>
      <c r="Y62" t="str">
        <f t="shared" si="0"/>
        <v/>
      </c>
    </row>
    <row r="63" spans="1:25" hidden="1" x14ac:dyDescent="0.3">
      <c r="A63" t="s">
        <v>242</v>
      </c>
      <c r="B63">
        <v>1710756813925</v>
      </c>
      <c r="C63">
        <f t="shared" si="4"/>
        <v>31</v>
      </c>
      <c r="D63" t="str">
        <f t="shared" si="5"/>
        <v/>
      </c>
      <c r="E63" t="s">
        <v>243</v>
      </c>
      <c r="G63" s="1" t="s">
        <v>244</v>
      </c>
      <c r="H63" t="s">
        <v>245</v>
      </c>
      <c r="R63" t="str">
        <f t="shared" si="6"/>
        <v>2024-03-18T10:13:33.925</v>
      </c>
      <c r="S63" t="s">
        <v>384</v>
      </c>
      <c r="T63" s="3" t="str">
        <f t="shared" si="7"/>
        <v>10:13:33.925</v>
      </c>
      <c r="U63" t="s">
        <v>442</v>
      </c>
      <c r="V63">
        <v>1710756813925</v>
      </c>
      <c r="W63">
        <v>1710756813849</v>
      </c>
      <c r="X63">
        <f t="shared" si="8"/>
        <v>31</v>
      </c>
      <c r="Y63">
        <f t="shared" si="0"/>
        <v>-0.95299999999999996</v>
      </c>
    </row>
    <row r="64" spans="1:25" x14ac:dyDescent="0.3">
      <c r="A64" t="s">
        <v>246</v>
      </c>
      <c r="B64">
        <v>1710756813849</v>
      </c>
      <c r="C64">
        <f t="shared" si="4"/>
        <v>32</v>
      </c>
      <c r="D64">
        <f t="shared" si="5"/>
        <v>-0.95299999999999996</v>
      </c>
      <c r="E64" t="s">
        <v>247</v>
      </c>
      <c r="G64" s="1" t="s">
        <v>248</v>
      </c>
      <c r="H64" t="s">
        <v>249</v>
      </c>
      <c r="R64" t="str">
        <f t="shared" si="6"/>
        <v>2024-03-18T10:13:33.849</v>
      </c>
      <c r="S64" t="s">
        <v>385</v>
      </c>
      <c r="T64" s="3" t="str">
        <f t="shared" si="7"/>
        <v>10:13:33.849</v>
      </c>
      <c r="U64" t="s">
        <v>443</v>
      </c>
      <c r="V64">
        <v>1710756813849</v>
      </c>
      <c r="W64">
        <v>1710756812896</v>
      </c>
      <c r="X64">
        <f t="shared" si="8"/>
        <v>31</v>
      </c>
      <c r="Y64" t="str">
        <f t="shared" si="0"/>
        <v/>
      </c>
    </row>
    <row r="65" spans="1:25" hidden="1" x14ac:dyDescent="0.3">
      <c r="A65" t="s">
        <v>250</v>
      </c>
      <c r="B65">
        <v>1710756812896</v>
      </c>
      <c r="C65">
        <f t="shared" si="4"/>
        <v>32</v>
      </c>
      <c r="D65" t="str">
        <f t="shared" si="5"/>
        <v/>
      </c>
      <c r="E65" t="s">
        <v>251</v>
      </c>
      <c r="G65" s="1" t="s">
        <v>252</v>
      </c>
      <c r="H65" t="s">
        <v>253</v>
      </c>
      <c r="R65" t="str">
        <f t="shared" si="6"/>
        <v>2024-03-18T10:13:32.896</v>
      </c>
      <c r="S65" t="s">
        <v>386</v>
      </c>
      <c r="T65" s="3" t="str">
        <f t="shared" si="7"/>
        <v>10:13:32.896</v>
      </c>
      <c r="U65" t="s">
        <v>444</v>
      </c>
      <c r="V65">
        <v>1710756812896</v>
      </c>
      <c r="W65">
        <v>1710756812833</v>
      </c>
      <c r="X65">
        <f t="shared" si="8"/>
        <v>32</v>
      </c>
      <c r="Y65">
        <f t="shared" si="0"/>
        <v>-1.0609999999999999</v>
      </c>
    </row>
    <row r="66" spans="1:25" x14ac:dyDescent="0.3">
      <c r="A66" t="s">
        <v>254</v>
      </c>
      <c r="B66">
        <v>1710756812833</v>
      </c>
      <c r="C66">
        <f t="shared" si="4"/>
        <v>33</v>
      </c>
      <c r="D66">
        <f t="shared" si="5"/>
        <v>-1.0609999999999999</v>
      </c>
      <c r="E66" t="s">
        <v>255</v>
      </c>
      <c r="G66" s="1" t="s">
        <v>256</v>
      </c>
      <c r="H66" t="s">
        <v>257</v>
      </c>
      <c r="R66" t="str">
        <f t="shared" si="6"/>
        <v>2024-03-18T10:13:32.833</v>
      </c>
      <c r="S66" t="s">
        <v>387</v>
      </c>
      <c r="T66" s="3" t="str">
        <f t="shared" si="7"/>
        <v>10:13:32.833</v>
      </c>
      <c r="U66" t="s">
        <v>445</v>
      </c>
      <c r="V66">
        <v>1710756812833</v>
      </c>
      <c r="W66">
        <v>1710756811772</v>
      </c>
      <c r="X66">
        <f t="shared" si="8"/>
        <v>32</v>
      </c>
      <c r="Y66" t="str">
        <f t="shared" ref="Y66:Y81" si="9">IF(MOD(ROW()-1, 2) = 0, (W67 -W66)/1000, "")</f>
        <v/>
      </c>
    </row>
    <row r="67" spans="1:25" hidden="1" x14ac:dyDescent="0.3">
      <c r="A67" t="s">
        <v>258</v>
      </c>
      <c r="B67">
        <v>1710756811772</v>
      </c>
      <c r="C67">
        <f t="shared" ref="C67:C81" si="10">INT((ROW(B67))/2)</f>
        <v>33</v>
      </c>
      <c r="D67" t="str">
        <f t="shared" ref="D67:D81" si="11">IF(MOD(ROW(), 2) = 0, (B68 -B67)/1000, "")</f>
        <v/>
      </c>
      <c r="E67" t="s">
        <v>259</v>
      </c>
      <c r="G67" s="1" t="s">
        <v>260</v>
      </c>
      <c r="H67" t="s">
        <v>261</v>
      </c>
      <c r="R67" t="str">
        <f t="shared" ref="R67:R81" si="12">MID(E67, FIND("time"":""", E67) + 7, 23)</f>
        <v>2024-03-18T10:13:31.772</v>
      </c>
      <c r="S67" t="s">
        <v>388</v>
      </c>
      <c r="T67" s="3" t="str">
        <f t="shared" ref="T67:T81" si="13">MID(S67, 12, 12)</f>
        <v>10:13:31.772</v>
      </c>
      <c r="U67" t="s">
        <v>446</v>
      </c>
      <c r="V67">
        <v>1710756811772</v>
      </c>
      <c r="W67">
        <v>1710756811685</v>
      </c>
      <c r="X67">
        <f t="shared" ref="X67:X80" si="14">INT((ROW(W67)-1)/2)</f>
        <v>33</v>
      </c>
      <c r="Y67">
        <f t="shared" si="9"/>
        <v>-0.95799999999999996</v>
      </c>
    </row>
    <row r="68" spans="1:25" x14ac:dyDescent="0.3">
      <c r="A68" t="s">
        <v>262</v>
      </c>
      <c r="B68">
        <v>1710756811685</v>
      </c>
      <c r="C68">
        <f t="shared" si="10"/>
        <v>34</v>
      </c>
      <c r="D68">
        <f t="shared" si="11"/>
        <v>-0.95799999999999996</v>
      </c>
      <c r="E68" t="s">
        <v>263</v>
      </c>
      <c r="G68" s="1" t="s">
        <v>264</v>
      </c>
      <c r="H68" t="s">
        <v>265</v>
      </c>
      <c r="R68" t="str">
        <f t="shared" si="12"/>
        <v>2024-03-18T10:13:31.685</v>
      </c>
      <c r="S68" t="s">
        <v>389</v>
      </c>
      <c r="T68" s="3" t="str">
        <f t="shared" si="13"/>
        <v>10:13:31.685</v>
      </c>
      <c r="U68" t="s">
        <v>447</v>
      </c>
      <c r="V68">
        <v>1710756811685</v>
      </c>
      <c r="W68">
        <v>1710756810727</v>
      </c>
      <c r="X68">
        <f t="shared" si="14"/>
        <v>33</v>
      </c>
      <c r="Y68" t="str">
        <f t="shared" si="9"/>
        <v/>
      </c>
    </row>
    <row r="69" spans="1:25" hidden="1" x14ac:dyDescent="0.3">
      <c r="A69" t="s">
        <v>266</v>
      </c>
      <c r="B69">
        <v>1710756810727</v>
      </c>
      <c r="C69">
        <f t="shared" si="10"/>
        <v>34</v>
      </c>
      <c r="D69" t="str">
        <f t="shared" si="11"/>
        <v/>
      </c>
      <c r="E69" t="s">
        <v>267</v>
      </c>
      <c r="G69" s="1" t="s">
        <v>268</v>
      </c>
      <c r="H69" t="s">
        <v>269</v>
      </c>
      <c r="R69" t="str">
        <f t="shared" si="12"/>
        <v>2024-03-18T10:13:30.727</v>
      </c>
      <c r="S69" t="s">
        <v>390</v>
      </c>
      <c r="T69" s="3" t="str">
        <f t="shared" si="13"/>
        <v>10:13:30.727</v>
      </c>
      <c r="U69" t="s">
        <v>448</v>
      </c>
      <c r="V69">
        <v>1710756810727</v>
      </c>
      <c r="W69">
        <v>1710756810649</v>
      </c>
      <c r="X69">
        <f t="shared" si="14"/>
        <v>34</v>
      </c>
      <c r="Y69">
        <f t="shared" si="9"/>
        <v>-0.90300000000000002</v>
      </c>
    </row>
    <row r="70" spans="1:25" x14ac:dyDescent="0.3">
      <c r="A70" t="s">
        <v>270</v>
      </c>
      <c r="B70">
        <v>1710756810649</v>
      </c>
      <c r="C70">
        <f t="shared" si="10"/>
        <v>35</v>
      </c>
      <c r="D70">
        <f t="shared" si="11"/>
        <v>-0.90300000000000002</v>
      </c>
      <c r="E70" t="s">
        <v>271</v>
      </c>
      <c r="G70" s="1" t="s">
        <v>272</v>
      </c>
      <c r="H70" t="s">
        <v>273</v>
      </c>
      <c r="R70" t="str">
        <f t="shared" si="12"/>
        <v>2024-03-18T10:13:30.649</v>
      </c>
      <c r="S70" t="s">
        <v>391</v>
      </c>
      <c r="T70" s="3" t="str">
        <f t="shared" si="13"/>
        <v>10:13:30.649</v>
      </c>
      <c r="U70" t="s">
        <v>449</v>
      </c>
      <c r="V70">
        <v>1710756810649</v>
      </c>
      <c r="W70">
        <v>1710756809746</v>
      </c>
      <c r="X70">
        <f t="shared" si="14"/>
        <v>34</v>
      </c>
      <c r="Y70" t="str">
        <f t="shared" si="9"/>
        <v/>
      </c>
    </row>
    <row r="71" spans="1:25" hidden="1" x14ac:dyDescent="0.3">
      <c r="A71" t="s">
        <v>274</v>
      </c>
      <c r="B71">
        <v>1710756809746</v>
      </c>
      <c r="C71">
        <f t="shared" si="10"/>
        <v>35</v>
      </c>
      <c r="D71" t="str">
        <f t="shared" si="11"/>
        <v/>
      </c>
      <c r="E71" t="s">
        <v>275</v>
      </c>
      <c r="G71" s="1" t="s">
        <v>276</v>
      </c>
      <c r="H71" t="s">
        <v>277</v>
      </c>
      <c r="R71" t="str">
        <f t="shared" si="12"/>
        <v>2024-03-18T10:13:29.746</v>
      </c>
      <c r="S71" t="s">
        <v>392</v>
      </c>
      <c r="T71" s="3" t="str">
        <f t="shared" si="13"/>
        <v>10:13:29.746</v>
      </c>
      <c r="U71" t="s">
        <v>450</v>
      </c>
      <c r="V71">
        <v>1710756809746</v>
      </c>
      <c r="W71">
        <v>1710756809655</v>
      </c>
      <c r="X71">
        <f t="shared" si="14"/>
        <v>35</v>
      </c>
      <c r="Y71">
        <f t="shared" si="9"/>
        <v>-0.83499999999999996</v>
      </c>
    </row>
    <row r="72" spans="1:25" x14ac:dyDescent="0.3">
      <c r="A72" t="s">
        <v>278</v>
      </c>
      <c r="B72">
        <v>1710756809655</v>
      </c>
      <c r="C72">
        <f t="shared" si="10"/>
        <v>36</v>
      </c>
      <c r="D72">
        <f t="shared" si="11"/>
        <v>-0.83499999999999996</v>
      </c>
      <c r="E72" t="s">
        <v>279</v>
      </c>
      <c r="G72" s="1" t="s">
        <v>280</v>
      </c>
      <c r="H72" t="s">
        <v>281</v>
      </c>
      <c r="R72" t="str">
        <f t="shared" si="12"/>
        <v>2024-03-18T10:13:29.655</v>
      </c>
      <c r="S72" t="s">
        <v>393</v>
      </c>
      <c r="T72" s="3" t="str">
        <f t="shared" si="13"/>
        <v>10:13:29.655</v>
      </c>
      <c r="U72" t="s">
        <v>451</v>
      </c>
      <c r="V72">
        <v>1710756809655</v>
      </c>
      <c r="W72">
        <v>1710756808820</v>
      </c>
      <c r="X72">
        <f t="shared" si="14"/>
        <v>35</v>
      </c>
      <c r="Y72" t="str">
        <f t="shared" si="9"/>
        <v/>
      </c>
    </row>
    <row r="73" spans="1:25" hidden="1" x14ac:dyDescent="0.3">
      <c r="A73" t="s">
        <v>282</v>
      </c>
      <c r="B73">
        <v>1710756808820</v>
      </c>
      <c r="C73">
        <f t="shared" si="10"/>
        <v>36</v>
      </c>
      <c r="D73" t="str">
        <f t="shared" si="11"/>
        <v/>
      </c>
      <c r="E73" t="s">
        <v>283</v>
      </c>
      <c r="G73" s="1" t="s">
        <v>284</v>
      </c>
      <c r="H73" t="s">
        <v>285</v>
      </c>
      <c r="R73" t="str">
        <f t="shared" si="12"/>
        <v>2024-03-18T10:13:28.820</v>
      </c>
      <c r="S73" t="s">
        <v>394</v>
      </c>
      <c r="T73" s="3" t="str">
        <f t="shared" si="13"/>
        <v>10:13:28.820</v>
      </c>
      <c r="U73" t="s">
        <v>452</v>
      </c>
      <c r="V73">
        <v>1710756808820</v>
      </c>
      <c r="W73">
        <v>1710756808738</v>
      </c>
      <c r="X73">
        <f t="shared" si="14"/>
        <v>36</v>
      </c>
      <c r="Y73">
        <f t="shared" si="9"/>
        <v>-0.88800000000000001</v>
      </c>
    </row>
    <row r="74" spans="1:25" x14ac:dyDescent="0.3">
      <c r="A74" t="s">
        <v>286</v>
      </c>
      <c r="B74">
        <v>1710756808738</v>
      </c>
      <c r="C74">
        <f t="shared" si="10"/>
        <v>37</v>
      </c>
      <c r="D74">
        <f t="shared" si="11"/>
        <v>-0.88800000000000001</v>
      </c>
      <c r="E74" t="s">
        <v>287</v>
      </c>
      <c r="G74" s="1" t="s">
        <v>288</v>
      </c>
      <c r="H74" t="s">
        <v>289</v>
      </c>
      <c r="R74" t="str">
        <f t="shared" si="12"/>
        <v>2024-03-18T10:13:28.738</v>
      </c>
      <c r="S74" t="s">
        <v>395</v>
      </c>
      <c r="T74" s="3" t="str">
        <f t="shared" si="13"/>
        <v>10:13:28.738</v>
      </c>
      <c r="U74" t="s">
        <v>453</v>
      </c>
      <c r="V74">
        <v>1710756808738</v>
      </c>
      <c r="W74">
        <v>1710756807850</v>
      </c>
      <c r="X74">
        <f t="shared" si="14"/>
        <v>36</v>
      </c>
      <c r="Y74" t="str">
        <f t="shared" si="9"/>
        <v/>
      </c>
    </row>
    <row r="75" spans="1:25" hidden="1" x14ac:dyDescent="0.3">
      <c r="A75" t="s">
        <v>290</v>
      </c>
      <c r="B75">
        <v>1710756807850</v>
      </c>
      <c r="C75">
        <f t="shared" si="10"/>
        <v>37</v>
      </c>
      <c r="D75" t="str">
        <f t="shared" si="11"/>
        <v/>
      </c>
      <c r="E75" t="s">
        <v>291</v>
      </c>
      <c r="G75" s="1" t="s">
        <v>292</v>
      </c>
      <c r="H75" t="s">
        <v>293</v>
      </c>
      <c r="R75" t="str">
        <f t="shared" si="12"/>
        <v>2024-03-18T10:13:27.850</v>
      </c>
      <c r="S75" t="s">
        <v>396</v>
      </c>
      <c r="T75" s="3" t="str">
        <f t="shared" si="13"/>
        <v>10:13:27.850</v>
      </c>
      <c r="U75" t="s">
        <v>454</v>
      </c>
      <c r="V75">
        <v>1710756807850</v>
      </c>
      <c r="W75">
        <v>1710756807773</v>
      </c>
      <c r="X75">
        <f t="shared" si="14"/>
        <v>37</v>
      </c>
      <c r="Y75">
        <f t="shared" si="9"/>
        <v>-0.89700000000000002</v>
      </c>
    </row>
    <row r="76" spans="1:25" x14ac:dyDescent="0.3">
      <c r="A76" t="s">
        <v>294</v>
      </c>
      <c r="B76">
        <v>1710756807773</v>
      </c>
      <c r="C76">
        <f t="shared" si="10"/>
        <v>38</v>
      </c>
      <c r="D76">
        <f t="shared" si="11"/>
        <v>-0.89700000000000002</v>
      </c>
      <c r="E76" t="s">
        <v>295</v>
      </c>
      <c r="G76" s="1" t="s">
        <v>296</v>
      </c>
      <c r="H76" t="s">
        <v>297</v>
      </c>
      <c r="R76" t="str">
        <f t="shared" si="12"/>
        <v>2024-03-18T10:13:27.773</v>
      </c>
      <c r="S76" t="s">
        <v>397</v>
      </c>
      <c r="T76" s="3" t="str">
        <f t="shared" si="13"/>
        <v>10:13:27.773</v>
      </c>
      <c r="U76" t="s">
        <v>455</v>
      </c>
      <c r="V76">
        <v>1710756807773</v>
      </c>
      <c r="W76">
        <v>1710756806876</v>
      </c>
      <c r="X76">
        <f t="shared" si="14"/>
        <v>37</v>
      </c>
      <c r="Y76" t="str">
        <f t="shared" si="9"/>
        <v/>
      </c>
    </row>
    <row r="77" spans="1:25" hidden="1" x14ac:dyDescent="0.3">
      <c r="A77" t="s">
        <v>298</v>
      </c>
      <c r="B77">
        <v>1710756806876</v>
      </c>
      <c r="C77">
        <f t="shared" si="10"/>
        <v>38</v>
      </c>
      <c r="D77" t="str">
        <f t="shared" si="11"/>
        <v/>
      </c>
      <c r="E77" t="s">
        <v>299</v>
      </c>
      <c r="G77" s="1" t="s">
        <v>300</v>
      </c>
      <c r="H77" t="s">
        <v>301</v>
      </c>
      <c r="R77" t="str">
        <f t="shared" si="12"/>
        <v>2024-03-18T10:13:26.876</v>
      </c>
      <c r="S77" t="s">
        <v>398</v>
      </c>
      <c r="T77" s="3" t="str">
        <f t="shared" si="13"/>
        <v>10:13:26.876</v>
      </c>
      <c r="U77" t="s">
        <v>456</v>
      </c>
      <c r="V77">
        <v>1710756806876</v>
      </c>
      <c r="W77">
        <v>1710756806802</v>
      </c>
      <c r="X77">
        <f t="shared" si="14"/>
        <v>38</v>
      </c>
      <c r="Y77">
        <f t="shared" si="9"/>
        <v>-1.0680000000000001</v>
      </c>
    </row>
    <row r="78" spans="1:25" x14ac:dyDescent="0.3">
      <c r="A78" t="s">
        <v>302</v>
      </c>
      <c r="B78">
        <v>1710756806802</v>
      </c>
      <c r="C78">
        <f t="shared" si="10"/>
        <v>39</v>
      </c>
      <c r="D78">
        <f t="shared" si="11"/>
        <v>-1.0680000000000001</v>
      </c>
      <c r="E78" t="s">
        <v>303</v>
      </c>
      <c r="G78" s="1" t="s">
        <v>304</v>
      </c>
      <c r="H78" t="s">
        <v>305</v>
      </c>
      <c r="R78" t="str">
        <f t="shared" si="12"/>
        <v>2024-03-18T10:13:26.802</v>
      </c>
      <c r="S78" t="s">
        <v>399</v>
      </c>
      <c r="T78" s="3" t="str">
        <f t="shared" si="13"/>
        <v>10:13:26.802</v>
      </c>
      <c r="U78" t="s">
        <v>457</v>
      </c>
      <c r="V78">
        <v>1710756806802</v>
      </c>
      <c r="W78">
        <v>1710756805734</v>
      </c>
      <c r="X78">
        <f t="shared" si="14"/>
        <v>38</v>
      </c>
      <c r="Y78" t="str">
        <f t="shared" si="9"/>
        <v/>
      </c>
    </row>
    <row r="79" spans="1:25" hidden="1" x14ac:dyDescent="0.3">
      <c r="A79" t="s">
        <v>306</v>
      </c>
      <c r="B79">
        <v>1710756805734</v>
      </c>
      <c r="C79">
        <f t="shared" si="10"/>
        <v>39</v>
      </c>
      <c r="D79" t="str">
        <f t="shared" si="11"/>
        <v/>
      </c>
      <c r="E79" t="s">
        <v>307</v>
      </c>
      <c r="G79" s="1" t="s">
        <v>308</v>
      </c>
      <c r="H79" t="s">
        <v>309</v>
      </c>
      <c r="R79" t="str">
        <f t="shared" si="12"/>
        <v>2024-03-18T10:13:25.734</v>
      </c>
      <c r="S79" t="s">
        <v>400</v>
      </c>
      <c r="T79" s="3" t="str">
        <f t="shared" si="13"/>
        <v>10:13:25.734</v>
      </c>
      <c r="U79" t="s">
        <v>458</v>
      </c>
      <c r="V79">
        <v>1710756805734</v>
      </c>
      <c r="W79">
        <v>1710756804915</v>
      </c>
      <c r="X79">
        <f t="shared" si="14"/>
        <v>39</v>
      </c>
      <c r="Y79">
        <f t="shared" si="9"/>
        <v>-1.6519999999999999</v>
      </c>
    </row>
    <row r="80" spans="1:25" x14ac:dyDescent="0.3">
      <c r="A80" t="s">
        <v>310</v>
      </c>
      <c r="B80">
        <v>1710756804915</v>
      </c>
      <c r="C80">
        <f t="shared" si="10"/>
        <v>40</v>
      </c>
      <c r="D80">
        <f t="shared" si="11"/>
        <v>-1.6519999999999999</v>
      </c>
      <c r="E80" t="s">
        <v>311</v>
      </c>
      <c r="G80" s="1" t="s">
        <v>312</v>
      </c>
      <c r="H80" t="s">
        <v>313</v>
      </c>
      <c r="R80" t="str">
        <f t="shared" si="12"/>
        <v>2024-03-18T10:13:24.915</v>
      </c>
      <c r="S80" t="s">
        <v>401</v>
      </c>
      <c r="T80" s="3" t="str">
        <f t="shared" si="13"/>
        <v>10:13:24.915</v>
      </c>
      <c r="U80" t="s">
        <v>459</v>
      </c>
      <c r="V80">
        <v>1710756804915</v>
      </c>
      <c r="W80">
        <v>1710756803263</v>
      </c>
      <c r="X80">
        <f t="shared" si="14"/>
        <v>39</v>
      </c>
      <c r="Y80" t="str">
        <f t="shared" si="9"/>
        <v/>
      </c>
    </row>
    <row r="81" spans="1:25" hidden="1" x14ac:dyDescent="0.3">
      <c r="A81" t="s">
        <v>314</v>
      </c>
      <c r="B81">
        <v>1710756803263</v>
      </c>
      <c r="C81">
        <f t="shared" si="10"/>
        <v>40</v>
      </c>
      <c r="D81" t="str">
        <f t="shared" si="11"/>
        <v/>
      </c>
      <c r="E81" t="s">
        <v>315</v>
      </c>
      <c r="G81" s="1" t="s">
        <v>316</v>
      </c>
      <c r="H81" t="s">
        <v>317</v>
      </c>
      <c r="R81" t="str">
        <f t="shared" si="12"/>
        <v>2024-03-18T10:13:23.263</v>
      </c>
      <c r="S81" t="s">
        <v>402</v>
      </c>
      <c r="T81" s="3" t="str">
        <f t="shared" si="13"/>
        <v>10:13:23.263</v>
      </c>
      <c r="U81" t="s">
        <v>460</v>
      </c>
      <c r="V81">
        <v>1710756803263</v>
      </c>
      <c r="Y81">
        <f t="shared" si="9"/>
        <v>0</v>
      </c>
    </row>
    <row r="84" spans="1:25" x14ac:dyDescent="0.3">
      <c r="D84">
        <f>-AVERAGE(D2:D80)</f>
        <v>0.9811749999999998</v>
      </c>
    </row>
    <row r="85" spans="1:25" x14ac:dyDescent="0.3">
      <c r="D85">
        <f>-SUM(D2:D80)</f>
        <v>39.246999999999993</v>
      </c>
    </row>
  </sheetData>
  <autoFilter ref="A1:E81" xr:uid="{00000000-0009-0000-0000-000000000000}">
    <filterColumn colId="3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9F4C-69AD-4523-8D34-D8BA841694AB}">
  <sheetPr filterMode="1"/>
  <dimension ref="A1:G89"/>
  <sheetViews>
    <sheetView topLeftCell="A66" workbookViewId="0">
      <selection activeCell="E36" sqref="E36"/>
    </sheetView>
  </sheetViews>
  <sheetFormatPr defaultRowHeight="16.2" x14ac:dyDescent="0.3"/>
  <cols>
    <col min="4" max="4" width="17.77734375" bestFit="1" customWidth="1"/>
    <col min="5" max="5" width="209.6640625" customWidth="1"/>
  </cols>
  <sheetData>
    <row r="1" spans="1:7" x14ac:dyDescent="0.3">
      <c r="A1" t="s">
        <v>0</v>
      </c>
      <c r="B1" t="s">
        <v>1</v>
      </c>
      <c r="C1" t="s">
        <v>463</v>
      </c>
      <c r="D1" t="s">
        <v>464</v>
      </c>
      <c r="E1" t="s">
        <v>465</v>
      </c>
      <c r="F1" t="s">
        <v>2</v>
      </c>
      <c r="G1" t="s">
        <v>3</v>
      </c>
    </row>
    <row r="2" spans="1:7" x14ac:dyDescent="0.3">
      <c r="A2" t="s">
        <v>466</v>
      </c>
      <c r="B2">
        <v>1710756846469</v>
      </c>
      <c r="C2">
        <f>INT(ROW()/2)</f>
        <v>1</v>
      </c>
      <c r="D2">
        <f>IF(MOD(ROW(), 2) = 0, (B3 -B2)/1000, "")</f>
        <v>-4.3999999999999997E-2</v>
      </c>
      <c r="E2" t="s">
        <v>467</v>
      </c>
      <c r="F2">
        <v>1.7107568464697001E+18</v>
      </c>
      <c r="G2" t="s">
        <v>468</v>
      </c>
    </row>
    <row r="3" spans="1:7" hidden="1" x14ac:dyDescent="0.3">
      <c r="A3" t="s">
        <v>466</v>
      </c>
      <c r="B3">
        <v>1710756846425</v>
      </c>
      <c r="C3">
        <f t="shared" ref="C3:C66" si="0">INT(ROW()/2)</f>
        <v>1</v>
      </c>
      <c r="D3" t="str">
        <f t="shared" ref="D3:D66" si="1">IF(MOD(ROW(), 2) = 0, (B4 -B3)/1000, "")</f>
        <v/>
      </c>
      <c r="E3" t="s">
        <v>469</v>
      </c>
      <c r="F3">
        <v>1.7107568464254001E+18</v>
      </c>
      <c r="G3" t="s">
        <v>470</v>
      </c>
    </row>
    <row r="4" spans="1:7" x14ac:dyDescent="0.3">
      <c r="A4" t="s">
        <v>466</v>
      </c>
      <c r="B4">
        <v>1710756845469</v>
      </c>
      <c r="C4">
        <f t="shared" si="0"/>
        <v>2</v>
      </c>
      <c r="D4">
        <f t="shared" si="1"/>
        <v>-4.5999999999999999E-2</v>
      </c>
      <c r="E4" t="s">
        <v>471</v>
      </c>
      <c r="F4">
        <v>1.7107568454690401E+18</v>
      </c>
      <c r="G4" t="s">
        <v>472</v>
      </c>
    </row>
    <row r="5" spans="1:7" hidden="1" x14ac:dyDescent="0.3">
      <c r="A5" t="s">
        <v>466</v>
      </c>
      <c r="B5">
        <v>1710756845423</v>
      </c>
      <c r="C5">
        <f t="shared" si="0"/>
        <v>2</v>
      </c>
      <c r="D5" t="str">
        <f t="shared" si="1"/>
        <v/>
      </c>
      <c r="E5" t="s">
        <v>473</v>
      </c>
      <c r="F5">
        <v>1.7107568454237599E+18</v>
      </c>
      <c r="G5" t="s">
        <v>474</v>
      </c>
    </row>
    <row r="6" spans="1:7" x14ac:dyDescent="0.3">
      <c r="A6" t="s">
        <v>466</v>
      </c>
      <c r="B6">
        <v>1710756844570</v>
      </c>
      <c r="C6">
        <f t="shared" si="0"/>
        <v>3</v>
      </c>
      <c r="D6">
        <f t="shared" si="1"/>
        <v>-5.3999999999999999E-2</v>
      </c>
      <c r="E6" t="s">
        <v>475</v>
      </c>
      <c r="F6">
        <v>1.71075684457073E+18</v>
      </c>
      <c r="G6" t="s">
        <v>476</v>
      </c>
    </row>
    <row r="7" spans="1:7" hidden="1" x14ac:dyDescent="0.3">
      <c r="A7" t="s">
        <v>466</v>
      </c>
      <c r="B7">
        <v>1710756844516</v>
      </c>
      <c r="C7">
        <f t="shared" si="0"/>
        <v>3</v>
      </c>
      <c r="D7" t="str">
        <f t="shared" si="1"/>
        <v/>
      </c>
      <c r="E7" t="s">
        <v>477</v>
      </c>
      <c r="F7">
        <v>1.71075684451665E+18</v>
      </c>
      <c r="G7" t="s">
        <v>478</v>
      </c>
    </row>
    <row r="8" spans="1:7" x14ac:dyDescent="0.3">
      <c r="A8" t="s">
        <v>466</v>
      </c>
      <c r="B8">
        <v>1710756843581</v>
      </c>
      <c r="C8">
        <f t="shared" si="0"/>
        <v>4</v>
      </c>
      <c r="D8">
        <f t="shared" si="1"/>
        <v>-4.8000000000000001E-2</v>
      </c>
      <c r="E8" t="s">
        <v>479</v>
      </c>
      <c r="F8">
        <v>1.71075684358125E+18</v>
      </c>
      <c r="G8" t="s">
        <v>480</v>
      </c>
    </row>
    <row r="9" spans="1:7" hidden="1" x14ac:dyDescent="0.3">
      <c r="A9" t="s">
        <v>466</v>
      </c>
      <c r="B9">
        <v>1710756843533</v>
      </c>
      <c r="C9">
        <f t="shared" si="0"/>
        <v>4</v>
      </c>
      <c r="D9" t="str">
        <f t="shared" si="1"/>
        <v/>
      </c>
      <c r="E9" t="s">
        <v>481</v>
      </c>
      <c r="F9">
        <v>1.7107568435336E+18</v>
      </c>
      <c r="G9" t="s">
        <v>482</v>
      </c>
    </row>
    <row r="10" spans="1:7" x14ac:dyDescent="0.3">
      <c r="A10" t="s">
        <v>466</v>
      </c>
      <c r="B10">
        <v>1710756842563</v>
      </c>
      <c r="C10">
        <f t="shared" si="0"/>
        <v>5</v>
      </c>
      <c r="D10">
        <f t="shared" si="1"/>
        <v>-0.05</v>
      </c>
      <c r="E10" t="s">
        <v>483</v>
      </c>
      <c r="F10">
        <v>1.7107568425634299E+18</v>
      </c>
      <c r="G10" t="s">
        <v>484</v>
      </c>
    </row>
    <row r="11" spans="1:7" hidden="1" x14ac:dyDescent="0.3">
      <c r="A11" t="s">
        <v>466</v>
      </c>
      <c r="B11">
        <v>1710756842513</v>
      </c>
      <c r="C11">
        <f t="shared" si="0"/>
        <v>5</v>
      </c>
      <c r="D11" t="str">
        <f t="shared" si="1"/>
        <v/>
      </c>
      <c r="E11" t="s">
        <v>485</v>
      </c>
      <c r="F11">
        <v>1.71075684251314E+18</v>
      </c>
      <c r="G11" t="s">
        <v>486</v>
      </c>
    </row>
    <row r="12" spans="1:7" x14ac:dyDescent="0.3">
      <c r="A12" t="s">
        <v>466</v>
      </c>
      <c r="B12">
        <v>1710756841410</v>
      </c>
      <c r="C12">
        <f t="shared" si="0"/>
        <v>6</v>
      </c>
      <c r="D12">
        <f t="shared" si="1"/>
        <v>-8.5000000000000006E-2</v>
      </c>
      <c r="E12" t="s">
        <v>487</v>
      </c>
      <c r="F12">
        <v>1.7107568414104699E+18</v>
      </c>
      <c r="G12" t="s">
        <v>488</v>
      </c>
    </row>
    <row r="13" spans="1:7" hidden="1" x14ac:dyDescent="0.3">
      <c r="A13" t="s">
        <v>466</v>
      </c>
      <c r="B13">
        <v>1710756841325</v>
      </c>
      <c r="C13">
        <f t="shared" si="0"/>
        <v>6</v>
      </c>
      <c r="D13" t="str">
        <f t="shared" si="1"/>
        <v/>
      </c>
      <c r="E13" t="s">
        <v>489</v>
      </c>
      <c r="F13">
        <v>1.71075684132593E+18</v>
      </c>
      <c r="G13" t="s">
        <v>490</v>
      </c>
    </row>
    <row r="14" spans="1:7" x14ac:dyDescent="0.3">
      <c r="A14" t="s">
        <v>466</v>
      </c>
      <c r="B14">
        <v>1710756840276</v>
      </c>
      <c r="C14">
        <f t="shared" si="0"/>
        <v>7</v>
      </c>
      <c r="D14">
        <f t="shared" si="1"/>
        <v>-5.5E-2</v>
      </c>
      <c r="E14" t="s">
        <v>491</v>
      </c>
      <c r="F14">
        <v>1.7107568402762399E+18</v>
      </c>
      <c r="G14" t="s">
        <v>492</v>
      </c>
    </row>
    <row r="15" spans="1:7" hidden="1" x14ac:dyDescent="0.3">
      <c r="A15" t="s">
        <v>466</v>
      </c>
      <c r="B15">
        <v>1710756840221</v>
      </c>
      <c r="C15">
        <f t="shared" si="0"/>
        <v>7</v>
      </c>
      <c r="D15" t="str">
        <f t="shared" si="1"/>
        <v/>
      </c>
      <c r="E15" t="s">
        <v>493</v>
      </c>
      <c r="F15">
        <v>1.7107568402213901E+18</v>
      </c>
      <c r="G15" t="s">
        <v>494</v>
      </c>
    </row>
    <row r="16" spans="1:7" x14ac:dyDescent="0.3">
      <c r="A16" t="s">
        <v>466</v>
      </c>
      <c r="B16">
        <v>1710756839281</v>
      </c>
      <c r="C16">
        <f t="shared" si="0"/>
        <v>8</v>
      </c>
      <c r="D16">
        <f t="shared" si="1"/>
        <v>-6.0999999999999999E-2</v>
      </c>
      <c r="E16" t="s">
        <v>495</v>
      </c>
      <c r="F16">
        <v>1.7107568392818501E+18</v>
      </c>
      <c r="G16" t="s">
        <v>496</v>
      </c>
    </row>
    <row r="17" spans="1:7" hidden="1" x14ac:dyDescent="0.3">
      <c r="A17" t="s">
        <v>466</v>
      </c>
      <c r="B17">
        <v>1710756839220</v>
      </c>
      <c r="C17">
        <f t="shared" si="0"/>
        <v>8</v>
      </c>
      <c r="D17" t="str">
        <f t="shared" si="1"/>
        <v/>
      </c>
      <c r="E17" t="s">
        <v>497</v>
      </c>
      <c r="F17">
        <v>1.7107568392201999E+18</v>
      </c>
      <c r="G17" t="s">
        <v>498</v>
      </c>
    </row>
    <row r="18" spans="1:7" x14ac:dyDescent="0.3">
      <c r="A18" t="s">
        <v>466</v>
      </c>
      <c r="B18">
        <v>1710756838192</v>
      </c>
      <c r="C18">
        <f t="shared" si="0"/>
        <v>9</v>
      </c>
      <c r="D18">
        <f t="shared" si="1"/>
        <v>-5.8999999999999997E-2</v>
      </c>
      <c r="E18" t="s">
        <v>499</v>
      </c>
      <c r="F18">
        <v>1.7107568381924201E+18</v>
      </c>
      <c r="G18" t="s">
        <v>500</v>
      </c>
    </row>
    <row r="19" spans="1:7" hidden="1" x14ac:dyDescent="0.3">
      <c r="A19" t="s">
        <v>466</v>
      </c>
      <c r="B19">
        <v>1710756838133</v>
      </c>
      <c r="C19">
        <f t="shared" si="0"/>
        <v>9</v>
      </c>
      <c r="D19" t="str">
        <f t="shared" si="1"/>
        <v/>
      </c>
      <c r="E19" t="s">
        <v>501</v>
      </c>
      <c r="F19">
        <v>1.71075683813373E+18</v>
      </c>
      <c r="G19" t="s">
        <v>502</v>
      </c>
    </row>
    <row r="20" spans="1:7" x14ac:dyDescent="0.3">
      <c r="A20" t="s">
        <v>466</v>
      </c>
      <c r="B20">
        <v>1710756837140</v>
      </c>
      <c r="C20">
        <f t="shared" si="0"/>
        <v>10</v>
      </c>
      <c r="D20">
        <f t="shared" si="1"/>
        <v>-5.0999999999999997E-2</v>
      </c>
      <c r="E20" t="s">
        <v>503</v>
      </c>
      <c r="F20">
        <v>1.71075683714014E+18</v>
      </c>
      <c r="G20" t="s">
        <v>504</v>
      </c>
    </row>
    <row r="21" spans="1:7" hidden="1" x14ac:dyDescent="0.3">
      <c r="A21" t="s">
        <v>466</v>
      </c>
      <c r="B21">
        <v>1710756837089</v>
      </c>
      <c r="C21">
        <f t="shared" si="0"/>
        <v>10</v>
      </c>
      <c r="D21" t="str">
        <f t="shared" si="1"/>
        <v/>
      </c>
      <c r="E21" t="s">
        <v>505</v>
      </c>
      <c r="F21">
        <v>1.7107568370899599E+18</v>
      </c>
      <c r="G21" t="s">
        <v>506</v>
      </c>
    </row>
    <row r="22" spans="1:7" x14ac:dyDescent="0.3">
      <c r="A22" t="s">
        <v>466</v>
      </c>
      <c r="B22">
        <v>1710756836122</v>
      </c>
      <c r="C22">
        <f t="shared" si="0"/>
        <v>11</v>
      </c>
      <c r="D22">
        <f t="shared" si="1"/>
        <v>-4.4999999999999998E-2</v>
      </c>
      <c r="E22" t="s">
        <v>507</v>
      </c>
      <c r="F22">
        <v>1.7107568361226601E+18</v>
      </c>
      <c r="G22" t="s">
        <v>508</v>
      </c>
    </row>
    <row r="23" spans="1:7" hidden="1" x14ac:dyDescent="0.3">
      <c r="A23" t="s">
        <v>466</v>
      </c>
      <c r="B23">
        <v>1710756836077</v>
      </c>
      <c r="C23">
        <f t="shared" si="0"/>
        <v>11</v>
      </c>
      <c r="D23" t="str">
        <f t="shared" si="1"/>
        <v/>
      </c>
      <c r="E23" t="s">
        <v>509</v>
      </c>
      <c r="F23">
        <v>1.7107568360772101E+18</v>
      </c>
      <c r="G23" t="s">
        <v>510</v>
      </c>
    </row>
    <row r="24" spans="1:7" x14ac:dyDescent="0.3">
      <c r="A24" t="s">
        <v>466</v>
      </c>
      <c r="B24">
        <v>1710756835130</v>
      </c>
      <c r="C24">
        <f t="shared" si="0"/>
        <v>12</v>
      </c>
      <c r="D24">
        <f t="shared" si="1"/>
        <v>-5.7000000000000002E-2</v>
      </c>
      <c r="E24" t="s">
        <v>511</v>
      </c>
      <c r="F24">
        <v>1.71075683513069E+18</v>
      </c>
      <c r="G24" t="s">
        <v>512</v>
      </c>
    </row>
    <row r="25" spans="1:7" hidden="1" x14ac:dyDescent="0.3">
      <c r="A25" t="s">
        <v>466</v>
      </c>
      <c r="B25">
        <v>1710756835073</v>
      </c>
      <c r="C25">
        <f t="shared" si="0"/>
        <v>12</v>
      </c>
      <c r="D25" t="str">
        <f t="shared" si="1"/>
        <v/>
      </c>
      <c r="E25" t="s">
        <v>513</v>
      </c>
      <c r="F25">
        <v>1.7107568350735099E+18</v>
      </c>
      <c r="G25" t="s">
        <v>514</v>
      </c>
    </row>
    <row r="26" spans="1:7" x14ac:dyDescent="0.3">
      <c r="A26" t="s">
        <v>466</v>
      </c>
      <c r="B26">
        <v>1710756835070</v>
      </c>
      <c r="C26">
        <f t="shared" si="0"/>
        <v>13</v>
      </c>
      <c r="D26">
        <f t="shared" si="1"/>
        <v>-4.1000000000000002E-2</v>
      </c>
      <c r="E26" t="s">
        <v>515</v>
      </c>
      <c r="F26">
        <v>1.71075683507056E+18</v>
      </c>
      <c r="G26" t="s">
        <v>516</v>
      </c>
    </row>
    <row r="27" spans="1:7" hidden="1" x14ac:dyDescent="0.3">
      <c r="A27" t="s">
        <v>466</v>
      </c>
      <c r="B27">
        <v>1710756835029</v>
      </c>
      <c r="C27">
        <f t="shared" si="0"/>
        <v>13</v>
      </c>
      <c r="D27" t="str">
        <f t="shared" si="1"/>
        <v/>
      </c>
      <c r="E27" t="s">
        <v>517</v>
      </c>
      <c r="F27">
        <v>1.7107568350295199E+18</v>
      </c>
      <c r="G27" t="s">
        <v>518</v>
      </c>
    </row>
    <row r="28" spans="1:7" x14ac:dyDescent="0.3">
      <c r="A28" t="s">
        <v>466</v>
      </c>
      <c r="B28">
        <v>1710756833514</v>
      </c>
      <c r="C28">
        <f t="shared" si="0"/>
        <v>14</v>
      </c>
      <c r="D28">
        <f t="shared" si="1"/>
        <v>-5.5E-2</v>
      </c>
      <c r="E28" t="s">
        <v>519</v>
      </c>
      <c r="F28">
        <v>1.71075683351442E+18</v>
      </c>
      <c r="G28" t="s">
        <v>520</v>
      </c>
    </row>
    <row r="29" spans="1:7" hidden="1" x14ac:dyDescent="0.3">
      <c r="A29" t="s">
        <v>466</v>
      </c>
      <c r="B29">
        <v>1710756833459</v>
      </c>
      <c r="C29">
        <f t="shared" si="0"/>
        <v>14</v>
      </c>
      <c r="D29" t="str">
        <f t="shared" si="1"/>
        <v/>
      </c>
      <c r="E29" t="s">
        <v>521</v>
      </c>
      <c r="F29">
        <v>1.71075683345982E+18</v>
      </c>
      <c r="G29" t="s">
        <v>522</v>
      </c>
    </row>
    <row r="30" spans="1:7" x14ac:dyDescent="0.3">
      <c r="A30" t="s">
        <v>466</v>
      </c>
      <c r="B30">
        <v>1710756832423</v>
      </c>
      <c r="C30">
        <f t="shared" si="0"/>
        <v>15</v>
      </c>
      <c r="D30">
        <f t="shared" si="1"/>
        <v>-4.9000000000000002E-2</v>
      </c>
      <c r="E30" t="s">
        <v>523</v>
      </c>
      <c r="F30">
        <v>1.7107568324239501E+18</v>
      </c>
      <c r="G30" t="s">
        <v>524</v>
      </c>
    </row>
    <row r="31" spans="1:7" hidden="1" x14ac:dyDescent="0.3">
      <c r="A31" t="s">
        <v>466</v>
      </c>
      <c r="B31">
        <v>1710756832374</v>
      </c>
      <c r="C31">
        <f t="shared" si="0"/>
        <v>15</v>
      </c>
      <c r="D31" t="str">
        <f t="shared" si="1"/>
        <v/>
      </c>
      <c r="E31" t="s">
        <v>525</v>
      </c>
      <c r="F31">
        <v>1.71075683237491E+18</v>
      </c>
      <c r="G31" t="s">
        <v>526</v>
      </c>
    </row>
    <row r="32" spans="1:7" x14ac:dyDescent="0.3">
      <c r="A32" t="s">
        <v>466</v>
      </c>
      <c r="B32">
        <v>1710756831483</v>
      </c>
      <c r="C32">
        <f t="shared" si="0"/>
        <v>16</v>
      </c>
      <c r="D32">
        <f t="shared" si="1"/>
        <v>-4.9000000000000002E-2</v>
      </c>
      <c r="E32" t="s">
        <v>527</v>
      </c>
      <c r="F32">
        <v>1.7107568314832901E+18</v>
      </c>
      <c r="G32" t="s">
        <v>528</v>
      </c>
    </row>
    <row r="33" spans="1:7" hidden="1" x14ac:dyDescent="0.3">
      <c r="A33" t="s">
        <v>466</v>
      </c>
      <c r="B33">
        <v>1710756831434</v>
      </c>
      <c r="C33">
        <f t="shared" si="0"/>
        <v>16</v>
      </c>
      <c r="D33" t="str">
        <f t="shared" si="1"/>
        <v/>
      </c>
      <c r="E33" t="s">
        <v>529</v>
      </c>
      <c r="F33">
        <v>1.7107568314343099E+18</v>
      </c>
      <c r="G33" t="s">
        <v>530</v>
      </c>
    </row>
    <row r="34" spans="1:7" x14ac:dyDescent="0.3">
      <c r="A34" t="s">
        <v>466</v>
      </c>
      <c r="B34">
        <v>1710756830602</v>
      </c>
      <c r="C34">
        <f t="shared" si="0"/>
        <v>17</v>
      </c>
      <c r="D34">
        <f t="shared" si="1"/>
        <v>-7.1999999999999995E-2</v>
      </c>
      <c r="E34" t="s">
        <v>531</v>
      </c>
      <c r="F34">
        <v>1.7107568306020201E+18</v>
      </c>
      <c r="G34" t="s">
        <v>532</v>
      </c>
    </row>
    <row r="35" spans="1:7" hidden="1" x14ac:dyDescent="0.3">
      <c r="A35" t="s">
        <v>466</v>
      </c>
      <c r="B35">
        <v>1710756830530</v>
      </c>
      <c r="C35">
        <f t="shared" si="0"/>
        <v>17</v>
      </c>
      <c r="D35" t="str">
        <f t="shared" si="1"/>
        <v/>
      </c>
      <c r="E35" t="s">
        <v>533</v>
      </c>
      <c r="F35">
        <v>1.7107568305301701E+18</v>
      </c>
      <c r="G35" t="s">
        <v>534</v>
      </c>
    </row>
    <row r="36" spans="1:7" x14ac:dyDescent="0.3">
      <c r="A36" t="s">
        <v>466</v>
      </c>
      <c r="B36">
        <v>1710756829524</v>
      </c>
      <c r="C36">
        <f t="shared" si="0"/>
        <v>18</v>
      </c>
      <c r="D36">
        <f t="shared" si="1"/>
        <v>-4.4999999999999998E-2</v>
      </c>
      <c r="E36" t="s">
        <v>535</v>
      </c>
      <c r="F36">
        <v>1.71075682952499E+18</v>
      </c>
      <c r="G36" t="s">
        <v>536</v>
      </c>
    </row>
    <row r="37" spans="1:7" hidden="1" x14ac:dyDescent="0.3">
      <c r="A37" t="s">
        <v>466</v>
      </c>
      <c r="B37">
        <v>1710756829479</v>
      </c>
      <c r="C37">
        <f t="shared" si="0"/>
        <v>18</v>
      </c>
      <c r="D37" t="str">
        <f t="shared" si="1"/>
        <v/>
      </c>
      <c r="E37" t="s">
        <v>537</v>
      </c>
      <c r="F37">
        <v>1.7107568294797801E+18</v>
      </c>
      <c r="G37" t="s">
        <v>538</v>
      </c>
    </row>
    <row r="38" spans="1:7" x14ac:dyDescent="0.3">
      <c r="A38" t="s">
        <v>466</v>
      </c>
      <c r="B38">
        <v>1710756828683</v>
      </c>
      <c r="C38">
        <f t="shared" si="0"/>
        <v>19</v>
      </c>
      <c r="D38">
        <f t="shared" si="1"/>
        <v>-0.06</v>
      </c>
      <c r="E38" t="s">
        <v>539</v>
      </c>
      <c r="F38">
        <v>1.7107568286832599E+18</v>
      </c>
      <c r="G38" t="s">
        <v>540</v>
      </c>
    </row>
    <row r="39" spans="1:7" hidden="1" x14ac:dyDescent="0.3">
      <c r="A39" t="s">
        <v>466</v>
      </c>
      <c r="B39">
        <v>1710756828623</v>
      </c>
      <c r="C39">
        <f t="shared" si="0"/>
        <v>19</v>
      </c>
      <c r="D39" t="str">
        <f t="shared" si="1"/>
        <v/>
      </c>
      <c r="E39" t="s">
        <v>541</v>
      </c>
      <c r="F39">
        <v>1.7107568286233201E+18</v>
      </c>
      <c r="G39" t="s">
        <v>542</v>
      </c>
    </row>
    <row r="40" spans="1:7" x14ac:dyDescent="0.3">
      <c r="A40" t="s">
        <v>466</v>
      </c>
      <c r="B40">
        <v>1710756827827</v>
      </c>
      <c r="C40">
        <f t="shared" si="0"/>
        <v>20</v>
      </c>
      <c r="D40">
        <f t="shared" si="1"/>
        <v>-6.8000000000000005E-2</v>
      </c>
      <c r="E40" t="s">
        <v>543</v>
      </c>
      <c r="F40">
        <v>1.71075682782737E+18</v>
      </c>
      <c r="G40" t="s">
        <v>544</v>
      </c>
    </row>
    <row r="41" spans="1:7" hidden="1" x14ac:dyDescent="0.3">
      <c r="A41" t="s">
        <v>466</v>
      </c>
      <c r="B41">
        <v>1710756827759</v>
      </c>
      <c r="C41">
        <f t="shared" si="0"/>
        <v>20</v>
      </c>
      <c r="D41" t="str">
        <f t="shared" si="1"/>
        <v/>
      </c>
      <c r="E41" t="s">
        <v>545</v>
      </c>
      <c r="F41">
        <v>1.7107568277592699E+18</v>
      </c>
      <c r="G41" t="s">
        <v>546</v>
      </c>
    </row>
    <row r="42" spans="1:7" x14ac:dyDescent="0.3">
      <c r="A42" t="s">
        <v>466</v>
      </c>
      <c r="B42">
        <v>1710756826730</v>
      </c>
      <c r="C42">
        <f t="shared" si="0"/>
        <v>21</v>
      </c>
      <c r="D42">
        <f t="shared" si="1"/>
        <v>-5.1999999999999998E-2</v>
      </c>
      <c r="E42" t="s">
        <v>547</v>
      </c>
      <c r="F42">
        <v>1.71075682673086E+18</v>
      </c>
      <c r="G42" t="s">
        <v>548</v>
      </c>
    </row>
    <row r="43" spans="1:7" hidden="1" x14ac:dyDescent="0.3">
      <c r="A43" t="s">
        <v>466</v>
      </c>
      <c r="B43">
        <v>1710756826678</v>
      </c>
      <c r="C43">
        <f t="shared" si="0"/>
        <v>21</v>
      </c>
      <c r="D43" t="str">
        <f t="shared" si="1"/>
        <v/>
      </c>
      <c r="E43" t="s">
        <v>549</v>
      </c>
      <c r="F43">
        <v>1.71075682667853E+18</v>
      </c>
      <c r="G43" t="s">
        <v>550</v>
      </c>
    </row>
    <row r="44" spans="1:7" x14ac:dyDescent="0.3">
      <c r="A44" t="s">
        <v>466</v>
      </c>
      <c r="B44">
        <v>1710756825586</v>
      </c>
      <c r="C44">
        <f t="shared" si="0"/>
        <v>22</v>
      </c>
      <c r="D44">
        <f t="shared" si="1"/>
        <v>-0.10299999999999999</v>
      </c>
      <c r="E44" t="s">
        <v>551</v>
      </c>
      <c r="F44">
        <v>1.71075682558625E+18</v>
      </c>
      <c r="G44" t="s">
        <v>552</v>
      </c>
    </row>
    <row r="45" spans="1:7" hidden="1" x14ac:dyDescent="0.3">
      <c r="A45" t="s">
        <v>466</v>
      </c>
      <c r="B45">
        <v>1710756825483</v>
      </c>
      <c r="C45">
        <f t="shared" si="0"/>
        <v>22</v>
      </c>
      <c r="D45" t="str">
        <f t="shared" si="1"/>
        <v/>
      </c>
      <c r="E45" t="s">
        <v>553</v>
      </c>
      <c r="F45">
        <v>1.7107568254832399E+18</v>
      </c>
      <c r="G45" t="s">
        <v>554</v>
      </c>
    </row>
    <row r="46" spans="1:7" x14ac:dyDescent="0.3">
      <c r="A46" t="s">
        <v>466</v>
      </c>
      <c r="B46">
        <v>1710756824068</v>
      </c>
      <c r="C46">
        <f t="shared" si="0"/>
        <v>23</v>
      </c>
      <c r="D46">
        <f t="shared" si="1"/>
        <v>-4.8000000000000001E-2</v>
      </c>
      <c r="E46" t="s">
        <v>555</v>
      </c>
      <c r="F46">
        <v>1.71075682406881E+18</v>
      </c>
      <c r="G46" t="s">
        <v>556</v>
      </c>
    </row>
    <row r="47" spans="1:7" hidden="1" x14ac:dyDescent="0.3">
      <c r="A47" t="s">
        <v>466</v>
      </c>
      <c r="B47">
        <v>1710756824020</v>
      </c>
      <c r="C47">
        <f t="shared" si="0"/>
        <v>23</v>
      </c>
      <c r="D47" t="str">
        <f t="shared" si="1"/>
        <v/>
      </c>
      <c r="E47" t="s">
        <v>557</v>
      </c>
      <c r="F47">
        <v>1.7107568240204101E+18</v>
      </c>
      <c r="G47" t="s">
        <v>558</v>
      </c>
    </row>
    <row r="48" spans="1:7" x14ac:dyDescent="0.3">
      <c r="A48" t="s">
        <v>466</v>
      </c>
      <c r="B48">
        <v>1710756822824</v>
      </c>
      <c r="C48">
        <f t="shared" si="0"/>
        <v>24</v>
      </c>
      <c r="D48">
        <f t="shared" si="1"/>
        <v>-0.127</v>
      </c>
      <c r="E48" t="s">
        <v>559</v>
      </c>
      <c r="F48">
        <v>1.7107568228243999E+18</v>
      </c>
      <c r="G48" t="s">
        <v>560</v>
      </c>
    </row>
    <row r="49" spans="1:7" hidden="1" x14ac:dyDescent="0.3">
      <c r="A49" t="s">
        <v>466</v>
      </c>
      <c r="B49">
        <v>1710756822697</v>
      </c>
      <c r="C49">
        <f t="shared" si="0"/>
        <v>24</v>
      </c>
      <c r="D49" t="str">
        <f t="shared" si="1"/>
        <v/>
      </c>
      <c r="E49" t="s">
        <v>561</v>
      </c>
      <c r="F49">
        <v>1.7107568226976699E+18</v>
      </c>
      <c r="G49" t="s">
        <v>562</v>
      </c>
    </row>
    <row r="50" spans="1:7" x14ac:dyDescent="0.3">
      <c r="A50" t="s">
        <v>466</v>
      </c>
      <c r="B50">
        <v>1710756821662</v>
      </c>
      <c r="C50">
        <f t="shared" si="0"/>
        <v>25</v>
      </c>
      <c r="D50">
        <f t="shared" si="1"/>
        <v>-6.2E-2</v>
      </c>
      <c r="E50" t="s">
        <v>563</v>
      </c>
      <c r="F50">
        <v>1.71075682166288E+18</v>
      </c>
      <c r="G50" t="s">
        <v>564</v>
      </c>
    </row>
    <row r="51" spans="1:7" hidden="1" x14ac:dyDescent="0.3">
      <c r="A51" t="s">
        <v>466</v>
      </c>
      <c r="B51">
        <v>1710756821600</v>
      </c>
      <c r="C51">
        <f t="shared" si="0"/>
        <v>25</v>
      </c>
      <c r="D51" t="str">
        <f t="shared" si="1"/>
        <v/>
      </c>
      <c r="E51" t="s">
        <v>565</v>
      </c>
      <c r="F51">
        <v>1.71075682160031E+18</v>
      </c>
      <c r="G51" t="s">
        <v>566</v>
      </c>
    </row>
    <row r="52" spans="1:7" x14ac:dyDescent="0.3">
      <c r="A52" t="s">
        <v>466</v>
      </c>
      <c r="B52">
        <v>1710756820284</v>
      </c>
      <c r="C52">
        <f t="shared" si="0"/>
        <v>26</v>
      </c>
      <c r="D52">
        <f t="shared" si="1"/>
        <v>-4.8000000000000001E-2</v>
      </c>
      <c r="E52" t="s">
        <v>567</v>
      </c>
      <c r="F52">
        <v>1.71075682028416E+18</v>
      </c>
      <c r="G52" t="s">
        <v>568</v>
      </c>
    </row>
    <row r="53" spans="1:7" hidden="1" x14ac:dyDescent="0.3">
      <c r="A53" t="s">
        <v>466</v>
      </c>
      <c r="B53">
        <v>1710756820236</v>
      </c>
      <c r="C53">
        <f t="shared" si="0"/>
        <v>26</v>
      </c>
      <c r="D53" t="str">
        <f t="shared" si="1"/>
        <v/>
      </c>
      <c r="E53" t="s">
        <v>569</v>
      </c>
      <c r="F53">
        <v>1.7107568202361201E+18</v>
      </c>
      <c r="G53" t="s">
        <v>570</v>
      </c>
    </row>
    <row r="54" spans="1:7" x14ac:dyDescent="0.3">
      <c r="A54" t="s">
        <v>466</v>
      </c>
      <c r="B54">
        <v>1710756818919</v>
      </c>
      <c r="C54">
        <f t="shared" si="0"/>
        <v>27</v>
      </c>
      <c r="D54">
        <f t="shared" si="1"/>
        <v>-5.8999999999999997E-2</v>
      </c>
      <c r="E54" t="s">
        <v>571</v>
      </c>
      <c r="F54">
        <v>1.7107568189196301E+18</v>
      </c>
      <c r="G54" t="s">
        <v>572</v>
      </c>
    </row>
    <row r="55" spans="1:7" hidden="1" x14ac:dyDescent="0.3">
      <c r="A55" t="s">
        <v>466</v>
      </c>
      <c r="B55">
        <v>1710756818860</v>
      </c>
      <c r="C55">
        <f t="shared" si="0"/>
        <v>27</v>
      </c>
      <c r="D55" t="str">
        <f t="shared" si="1"/>
        <v/>
      </c>
      <c r="E55" t="s">
        <v>573</v>
      </c>
      <c r="F55">
        <v>1.7107568188605599E+18</v>
      </c>
      <c r="G55" t="s">
        <v>574</v>
      </c>
    </row>
    <row r="56" spans="1:7" x14ac:dyDescent="0.3">
      <c r="A56" t="s">
        <v>466</v>
      </c>
      <c r="B56">
        <v>1710756817511</v>
      </c>
      <c r="C56">
        <f t="shared" si="0"/>
        <v>28</v>
      </c>
      <c r="D56">
        <f t="shared" si="1"/>
        <v>-4.4999999999999998E-2</v>
      </c>
      <c r="E56" t="s">
        <v>575</v>
      </c>
      <c r="F56">
        <v>1.7107568175113001E+18</v>
      </c>
      <c r="G56" t="s">
        <v>576</v>
      </c>
    </row>
    <row r="57" spans="1:7" hidden="1" x14ac:dyDescent="0.3">
      <c r="A57" t="s">
        <v>466</v>
      </c>
      <c r="B57">
        <v>1710756817466</v>
      </c>
      <c r="C57">
        <f t="shared" si="0"/>
        <v>28</v>
      </c>
      <c r="D57" t="str">
        <f t="shared" si="1"/>
        <v/>
      </c>
      <c r="E57" t="s">
        <v>577</v>
      </c>
      <c r="F57">
        <v>1.71075681746611E+18</v>
      </c>
      <c r="G57" t="s">
        <v>578</v>
      </c>
    </row>
    <row r="58" spans="1:7" x14ac:dyDescent="0.3">
      <c r="A58" t="s">
        <v>466</v>
      </c>
      <c r="B58">
        <v>1710756816645</v>
      </c>
      <c r="C58">
        <f t="shared" si="0"/>
        <v>29</v>
      </c>
      <c r="D58">
        <f t="shared" si="1"/>
        <v>-5.3999999999999999E-2</v>
      </c>
      <c r="E58" t="s">
        <v>579</v>
      </c>
      <c r="F58">
        <v>1.7107568166458801E+18</v>
      </c>
      <c r="G58" t="s">
        <v>580</v>
      </c>
    </row>
    <row r="59" spans="1:7" hidden="1" x14ac:dyDescent="0.3">
      <c r="A59" t="s">
        <v>466</v>
      </c>
      <c r="B59">
        <v>1710756816591</v>
      </c>
      <c r="C59">
        <f t="shared" si="0"/>
        <v>29</v>
      </c>
      <c r="D59" t="str">
        <f t="shared" si="1"/>
        <v/>
      </c>
      <c r="E59" t="s">
        <v>581</v>
      </c>
      <c r="F59">
        <v>1.7107568165911601E+18</v>
      </c>
      <c r="G59" t="s">
        <v>582</v>
      </c>
    </row>
    <row r="60" spans="1:7" x14ac:dyDescent="0.3">
      <c r="A60" t="s">
        <v>466</v>
      </c>
      <c r="B60">
        <v>1710756815773</v>
      </c>
      <c r="C60">
        <f t="shared" si="0"/>
        <v>30</v>
      </c>
      <c r="D60">
        <f t="shared" si="1"/>
        <v>-4.9000000000000002E-2</v>
      </c>
      <c r="E60" t="s">
        <v>583</v>
      </c>
      <c r="F60">
        <v>1.71075681577358E+18</v>
      </c>
      <c r="G60" t="s">
        <v>584</v>
      </c>
    </row>
    <row r="61" spans="1:7" hidden="1" x14ac:dyDescent="0.3">
      <c r="A61" t="s">
        <v>466</v>
      </c>
      <c r="B61">
        <v>1710756815724</v>
      </c>
      <c r="C61">
        <f t="shared" si="0"/>
        <v>30</v>
      </c>
      <c r="D61" t="str">
        <f t="shared" si="1"/>
        <v/>
      </c>
      <c r="E61" t="s">
        <v>585</v>
      </c>
      <c r="F61">
        <v>1.71075681572463E+18</v>
      </c>
      <c r="G61" t="s">
        <v>586</v>
      </c>
    </row>
    <row r="62" spans="1:7" x14ac:dyDescent="0.3">
      <c r="A62" t="s">
        <v>466</v>
      </c>
      <c r="B62">
        <v>1710756814849</v>
      </c>
      <c r="C62">
        <f t="shared" si="0"/>
        <v>31</v>
      </c>
      <c r="D62">
        <f t="shared" si="1"/>
        <v>-4.8000000000000001E-2</v>
      </c>
      <c r="E62" t="s">
        <v>587</v>
      </c>
      <c r="F62">
        <v>1.7107568148493599E+18</v>
      </c>
      <c r="G62" t="s">
        <v>588</v>
      </c>
    </row>
    <row r="63" spans="1:7" hidden="1" x14ac:dyDescent="0.3">
      <c r="A63" t="s">
        <v>466</v>
      </c>
      <c r="B63">
        <v>1710756814801</v>
      </c>
      <c r="C63">
        <f t="shared" si="0"/>
        <v>31</v>
      </c>
      <c r="D63" t="str">
        <f t="shared" si="1"/>
        <v/>
      </c>
      <c r="E63" t="s">
        <v>589</v>
      </c>
      <c r="F63">
        <v>1.7107568148009999E+18</v>
      </c>
      <c r="G63" t="s">
        <v>590</v>
      </c>
    </row>
    <row r="64" spans="1:7" x14ac:dyDescent="0.3">
      <c r="A64" t="s">
        <v>466</v>
      </c>
      <c r="B64">
        <v>1710756813924</v>
      </c>
      <c r="C64">
        <f t="shared" si="0"/>
        <v>32</v>
      </c>
      <c r="D64">
        <f t="shared" si="1"/>
        <v>-4.8000000000000001E-2</v>
      </c>
      <c r="E64" t="s">
        <v>591</v>
      </c>
      <c r="F64">
        <v>1.7107568139244101E+18</v>
      </c>
      <c r="G64" t="s">
        <v>592</v>
      </c>
    </row>
    <row r="65" spans="1:7" hidden="1" x14ac:dyDescent="0.3">
      <c r="A65" t="s">
        <v>466</v>
      </c>
      <c r="B65">
        <v>1710756813876</v>
      </c>
      <c r="C65">
        <f t="shared" si="0"/>
        <v>32</v>
      </c>
      <c r="D65" t="str">
        <f t="shared" si="1"/>
        <v/>
      </c>
      <c r="E65" t="s">
        <v>593</v>
      </c>
      <c r="F65">
        <v>1.7107568138766001E+18</v>
      </c>
      <c r="G65" t="s">
        <v>594</v>
      </c>
    </row>
    <row r="66" spans="1:7" x14ac:dyDescent="0.3">
      <c r="A66" t="s">
        <v>466</v>
      </c>
      <c r="B66">
        <v>1710756812896</v>
      </c>
      <c r="C66">
        <f t="shared" si="0"/>
        <v>33</v>
      </c>
      <c r="D66">
        <f t="shared" si="1"/>
        <v>-5.8999999999999997E-2</v>
      </c>
      <c r="E66" t="s">
        <v>595</v>
      </c>
      <c r="F66">
        <v>1.7107568128962299E+18</v>
      </c>
      <c r="G66" t="s">
        <v>596</v>
      </c>
    </row>
    <row r="67" spans="1:7" hidden="1" x14ac:dyDescent="0.3">
      <c r="A67" t="s">
        <v>466</v>
      </c>
      <c r="B67">
        <v>1710756812837</v>
      </c>
      <c r="C67">
        <f t="shared" ref="C67:C83" si="2">INT(ROW()/2)</f>
        <v>33</v>
      </c>
      <c r="D67" t="str">
        <f t="shared" ref="D67:D83" si="3">IF(MOD(ROW(), 2) = 0, (B68 -B67)/1000, "")</f>
        <v/>
      </c>
      <c r="E67" t="s">
        <v>597</v>
      </c>
      <c r="F67">
        <v>1.71075681283779E+18</v>
      </c>
      <c r="G67" t="s">
        <v>598</v>
      </c>
    </row>
    <row r="68" spans="1:7" x14ac:dyDescent="0.3">
      <c r="A68" t="s">
        <v>466</v>
      </c>
      <c r="B68">
        <v>1710756811771</v>
      </c>
      <c r="C68">
        <f t="shared" si="2"/>
        <v>34</v>
      </c>
      <c r="D68">
        <f t="shared" si="3"/>
        <v>-5.6000000000000001E-2</v>
      </c>
      <c r="E68" t="s">
        <v>599</v>
      </c>
      <c r="F68">
        <v>1.7107568117716201E+18</v>
      </c>
      <c r="G68" t="s">
        <v>600</v>
      </c>
    </row>
    <row r="69" spans="1:7" hidden="1" x14ac:dyDescent="0.3">
      <c r="A69" t="s">
        <v>466</v>
      </c>
      <c r="B69">
        <v>1710756811715</v>
      </c>
      <c r="C69">
        <f t="shared" si="2"/>
        <v>34</v>
      </c>
      <c r="D69" t="str">
        <f t="shared" si="3"/>
        <v/>
      </c>
      <c r="E69" t="s">
        <v>601</v>
      </c>
      <c r="F69">
        <v>1.71075681171567E+18</v>
      </c>
      <c r="G69" t="s">
        <v>602</v>
      </c>
    </row>
    <row r="70" spans="1:7" x14ac:dyDescent="0.3">
      <c r="A70" t="s">
        <v>466</v>
      </c>
      <c r="B70">
        <v>1710756810726</v>
      </c>
      <c r="C70">
        <f t="shared" si="2"/>
        <v>35</v>
      </c>
      <c r="D70">
        <f t="shared" si="3"/>
        <v>-5.0999999999999997E-2</v>
      </c>
      <c r="E70" t="s">
        <v>603</v>
      </c>
      <c r="F70">
        <v>1.7107568107267799E+18</v>
      </c>
      <c r="G70" t="s">
        <v>604</v>
      </c>
    </row>
    <row r="71" spans="1:7" hidden="1" x14ac:dyDescent="0.3">
      <c r="A71" t="s">
        <v>466</v>
      </c>
      <c r="B71">
        <v>1710756810675</v>
      </c>
      <c r="C71">
        <f t="shared" si="2"/>
        <v>35</v>
      </c>
      <c r="D71" t="str">
        <f t="shared" si="3"/>
        <v/>
      </c>
      <c r="E71" t="s">
        <v>605</v>
      </c>
      <c r="F71">
        <v>1.7107568106751601E+18</v>
      </c>
      <c r="G71" t="s">
        <v>606</v>
      </c>
    </row>
    <row r="72" spans="1:7" x14ac:dyDescent="0.3">
      <c r="A72" t="s">
        <v>466</v>
      </c>
      <c r="B72">
        <v>1710756809746</v>
      </c>
      <c r="C72">
        <f t="shared" si="2"/>
        <v>36</v>
      </c>
      <c r="D72">
        <f t="shared" si="3"/>
        <v>-6.5000000000000002E-2</v>
      </c>
      <c r="E72" t="s">
        <v>607</v>
      </c>
      <c r="F72">
        <v>1.71075680974623E+18</v>
      </c>
      <c r="G72" t="s">
        <v>608</v>
      </c>
    </row>
    <row r="73" spans="1:7" hidden="1" x14ac:dyDescent="0.3">
      <c r="A73" t="s">
        <v>466</v>
      </c>
      <c r="B73">
        <v>1710756809681</v>
      </c>
      <c r="C73">
        <f t="shared" si="2"/>
        <v>36</v>
      </c>
      <c r="D73" t="str">
        <f t="shared" si="3"/>
        <v/>
      </c>
      <c r="E73" t="s">
        <v>609</v>
      </c>
      <c r="F73">
        <v>1.7107568096815099E+18</v>
      </c>
      <c r="G73" t="s">
        <v>610</v>
      </c>
    </row>
    <row r="74" spans="1:7" x14ac:dyDescent="0.3">
      <c r="A74" t="s">
        <v>466</v>
      </c>
      <c r="B74">
        <v>1710756808819</v>
      </c>
      <c r="C74">
        <f t="shared" si="2"/>
        <v>37</v>
      </c>
      <c r="D74">
        <f t="shared" si="3"/>
        <v>-5.3999999999999999E-2</v>
      </c>
      <c r="E74" t="s">
        <v>611</v>
      </c>
      <c r="F74">
        <v>1.7107568088194501E+18</v>
      </c>
      <c r="G74" t="s">
        <v>612</v>
      </c>
    </row>
    <row r="75" spans="1:7" hidden="1" x14ac:dyDescent="0.3">
      <c r="A75" t="s">
        <v>466</v>
      </c>
      <c r="B75">
        <v>1710756808765</v>
      </c>
      <c r="C75">
        <f t="shared" si="2"/>
        <v>37</v>
      </c>
      <c r="D75" t="str">
        <f t="shared" si="3"/>
        <v/>
      </c>
      <c r="E75" t="s">
        <v>613</v>
      </c>
      <c r="F75">
        <v>1.7107568087650701E+18</v>
      </c>
      <c r="G75" t="s">
        <v>614</v>
      </c>
    </row>
    <row r="76" spans="1:7" x14ac:dyDescent="0.3">
      <c r="A76" t="s">
        <v>466</v>
      </c>
      <c r="B76">
        <v>1710756807849</v>
      </c>
      <c r="C76">
        <f t="shared" si="2"/>
        <v>38</v>
      </c>
      <c r="D76">
        <f t="shared" si="3"/>
        <v>-4.9000000000000002E-2</v>
      </c>
      <c r="E76" t="s">
        <v>615</v>
      </c>
      <c r="F76">
        <v>1.7107568078498199E+18</v>
      </c>
      <c r="G76" t="s">
        <v>616</v>
      </c>
    </row>
    <row r="77" spans="1:7" hidden="1" x14ac:dyDescent="0.3">
      <c r="A77" t="s">
        <v>466</v>
      </c>
      <c r="B77">
        <v>1710756807800</v>
      </c>
      <c r="C77">
        <f t="shared" si="2"/>
        <v>38</v>
      </c>
      <c r="D77" t="str">
        <f t="shared" si="3"/>
        <v/>
      </c>
      <c r="E77" t="s">
        <v>617</v>
      </c>
      <c r="F77">
        <v>1.71075680780051E+18</v>
      </c>
      <c r="G77" t="s">
        <v>618</v>
      </c>
    </row>
    <row r="78" spans="1:7" x14ac:dyDescent="0.3">
      <c r="A78" t="s">
        <v>466</v>
      </c>
      <c r="B78">
        <v>1710756806875</v>
      </c>
      <c r="C78">
        <f t="shared" si="2"/>
        <v>39</v>
      </c>
      <c r="D78">
        <f t="shared" si="3"/>
        <v>-4.7E-2</v>
      </c>
      <c r="E78" t="s">
        <v>619</v>
      </c>
      <c r="F78">
        <v>1.71075680687571E+18</v>
      </c>
      <c r="G78" t="s">
        <v>620</v>
      </c>
    </row>
    <row r="79" spans="1:7" hidden="1" x14ac:dyDescent="0.3">
      <c r="A79" t="s">
        <v>466</v>
      </c>
      <c r="B79">
        <v>1710756806828</v>
      </c>
      <c r="C79">
        <f t="shared" si="2"/>
        <v>39</v>
      </c>
      <c r="D79" t="str">
        <f t="shared" si="3"/>
        <v/>
      </c>
      <c r="E79" t="s">
        <v>621</v>
      </c>
      <c r="F79">
        <v>1.7107568068289201E+18</v>
      </c>
      <c r="G79" t="s">
        <v>622</v>
      </c>
    </row>
    <row r="80" spans="1:7" x14ac:dyDescent="0.3">
      <c r="A80" t="s">
        <v>466</v>
      </c>
      <c r="B80">
        <v>1710756805733</v>
      </c>
      <c r="C80">
        <f t="shared" si="2"/>
        <v>40</v>
      </c>
      <c r="D80">
        <f t="shared" si="3"/>
        <v>-6.9000000000000006E-2</v>
      </c>
      <c r="E80" t="s">
        <v>623</v>
      </c>
      <c r="F80">
        <v>1.7107568057333299E+18</v>
      </c>
      <c r="G80" t="s">
        <v>624</v>
      </c>
    </row>
    <row r="81" spans="1:7" hidden="1" x14ac:dyDescent="0.3">
      <c r="A81" t="s">
        <v>466</v>
      </c>
      <c r="B81">
        <v>1710756805664</v>
      </c>
      <c r="C81">
        <f t="shared" si="2"/>
        <v>40</v>
      </c>
      <c r="D81" t="str">
        <f t="shared" si="3"/>
        <v/>
      </c>
      <c r="E81" t="s">
        <v>625</v>
      </c>
      <c r="F81">
        <v>1.71075680566401E+18</v>
      </c>
      <c r="G81" t="s">
        <v>626</v>
      </c>
    </row>
    <row r="82" spans="1:7" x14ac:dyDescent="0.3">
      <c r="A82" t="s">
        <v>466</v>
      </c>
      <c r="B82">
        <v>1710756803137</v>
      </c>
      <c r="C82">
        <f t="shared" si="2"/>
        <v>41</v>
      </c>
      <c r="D82">
        <f t="shared" si="3"/>
        <v>-1.262</v>
      </c>
      <c r="E82" t="s">
        <v>627</v>
      </c>
      <c r="F82">
        <v>1.71075680313791E+18</v>
      </c>
      <c r="G82" t="s">
        <v>628</v>
      </c>
    </row>
    <row r="83" spans="1:7" hidden="1" x14ac:dyDescent="0.3">
      <c r="A83" t="s">
        <v>466</v>
      </c>
      <c r="B83">
        <v>1710756801875</v>
      </c>
      <c r="C83">
        <f t="shared" si="2"/>
        <v>41</v>
      </c>
      <c r="D83" t="str">
        <f t="shared" si="3"/>
        <v/>
      </c>
      <c r="E83" t="s">
        <v>629</v>
      </c>
      <c r="F83">
        <v>1.71075680187567E+18</v>
      </c>
      <c r="G83" t="s">
        <v>630</v>
      </c>
    </row>
    <row r="88" spans="1:7" x14ac:dyDescent="0.3">
      <c r="D88">
        <f>-AVERAGE(D2:D82)</f>
        <v>8.6560975609756105E-2</v>
      </c>
    </row>
    <row r="89" spans="1:7" x14ac:dyDescent="0.3">
      <c r="D89">
        <f>-SUM(D2:D83)</f>
        <v>3.5490000000000004</v>
      </c>
    </row>
  </sheetData>
  <autoFilter ref="A1:G83" xr:uid="{00000000-0009-0000-0000-000000000000}">
    <filterColumn colId="3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58A-568F-42C8-844E-EE14FF3E099F}">
  <sheetPr filterMode="1"/>
  <dimension ref="A1:G87"/>
  <sheetViews>
    <sheetView topLeftCell="A60" workbookViewId="0">
      <selection activeCell="D88" sqref="D88"/>
    </sheetView>
  </sheetViews>
  <sheetFormatPr defaultRowHeight="16.2" x14ac:dyDescent="0.3"/>
  <cols>
    <col min="4" max="4" width="15.33203125" bestFit="1" customWidth="1"/>
    <col min="5" max="5" width="170" customWidth="1"/>
  </cols>
  <sheetData>
    <row r="1" spans="1:7" x14ac:dyDescent="0.3">
      <c r="A1" t="s">
        <v>0</v>
      </c>
      <c r="B1" t="s">
        <v>1</v>
      </c>
      <c r="C1" t="s">
        <v>463</v>
      </c>
      <c r="D1" t="s">
        <v>631</v>
      </c>
      <c r="E1" t="s">
        <v>465</v>
      </c>
      <c r="F1" t="s">
        <v>2</v>
      </c>
      <c r="G1" t="s">
        <v>3</v>
      </c>
    </row>
    <row r="2" spans="1:7" x14ac:dyDescent="0.3">
      <c r="A2" t="s">
        <v>632</v>
      </c>
      <c r="B2">
        <v>1710756847488</v>
      </c>
      <c r="C2">
        <f>INT(ROW()/2)</f>
        <v>1</v>
      </c>
      <c r="D2">
        <f>IF(MOD(ROW(),2)=0,(B3-B2)/1000,"")</f>
        <v>-2.1000000000000001E-2</v>
      </c>
      <c r="E2" t="s">
        <v>633</v>
      </c>
      <c r="F2">
        <v>1.7107568474882801E+18</v>
      </c>
      <c r="G2" t="s">
        <v>634</v>
      </c>
    </row>
    <row r="3" spans="1:7" hidden="1" x14ac:dyDescent="0.3">
      <c r="A3" t="s">
        <v>4</v>
      </c>
      <c r="B3">
        <v>1710756847467</v>
      </c>
      <c r="C3">
        <f t="shared" ref="C3:C66" si="0">INT(ROW()/2)</f>
        <v>1</v>
      </c>
      <c r="D3" t="str">
        <f t="shared" ref="D3:D66" si="1">IF(MOD(ROW(),2)=0,(B4-B3)/1000,"")</f>
        <v/>
      </c>
      <c r="E3" t="s">
        <v>635</v>
      </c>
      <c r="F3">
        <v>1.7107568474674099E+18</v>
      </c>
      <c r="G3" t="s">
        <v>5</v>
      </c>
    </row>
    <row r="4" spans="1:7" x14ac:dyDescent="0.3">
      <c r="A4" t="s">
        <v>636</v>
      </c>
      <c r="B4">
        <v>1710756846419</v>
      </c>
      <c r="C4">
        <f t="shared" si="0"/>
        <v>2</v>
      </c>
      <c r="D4">
        <f t="shared" si="1"/>
        <v>-2.5999999999999999E-2</v>
      </c>
      <c r="E4" t="s">
        <v>637</v>
      </c>
      <c r="F4">
        <v>1.71075684641953E+18</v>
      </c>
      <c r="G4" t="s">
        <v>638</v>
      </c>
    </row>
    <row r="5" spans="1:7" hidden="1" x14ac:dyDescent="0.3">
      <c r="A5" t="s">
        <v>9</v>
      </c>
      <c r="B5">
        <v>1710756846393</v>
      </c>
      <c r="C5">
        <f t="shared" si="0"/>
        <v>2</v>
      </c>
      <c r="D5" t="str">
        <f t="shared" si="1"/>
        <v/>
      </c>
      <c r="E5" t="s">
        <v>639</v>
      </c>
      <c r="F5">
        <v>1.71075684639376E+18</v>
      </c>
      <c r="G5" t="s">
        <v>11</v>
      </c>
    </row>
    <row r="6" spans="1:7" x14ac:dyDescent="0.3">
      <c r="A6" t="s">
        <v>640</v>
      </c>
      <c r="B6">
        <v>1710756845420</v>
      </c>
      <c r="C6">
        <f t="shared" si="0"/>
        <v>3</v>
      </c>
      <c r="D6">
        <f t="shared" si="1"/>
        <v>-1.7999999999999999E-2</v>
      </c>
      <c r="E6" t="s">
        <v>641</v>
      </c>
      <c r="F6">
        <v>1.7107568454206999E+18</v>
      </c>
      <c r="G6" t="s">
        <v>642</v>
      </c>
    </row>
    <row r="7" spans="1:7" hidden="1" x14ac:dyDescent="0.3">
      <c r="A7" t="s">
        <v>16</v>
      </c>
      <c r="B7">
        <v>1710756845402</v>
      </c>
      <c r="C7">
        <f t="shared" si="0"/>
        <v>3</v>
      </c>
      <c r="D7" t="str">
        <f t="shared" si="1"/>
        <v/>
      </c>
      <c r="E7" t="s">
        <v>643</v>
      </c>
      <c r="F7">
        <v>1.71075684540208E+18</v>
      </c>
      <c r="G7" t="s">
        <v>18</v>
      </c>
    </row>
    <row r="8" spans="1:7" x14ac:dyDescent="0.3">
      <c r="A8" t="s">
        <v>644</v>
      </c>
      <c r="B8">
        <v>1710756844513</v>
      </c>
      <c r="C8">
        <f t="shared" si="0"/>
        <v>4</v>
      </c>
      <c r="D8">
        <f t="shared" si="1"/>
        <v>-2.4E-2</v>
      </c>
      <c r="E8" t="s">
        <v>645</v>
      </c>
      <c r="F8">
        <v>1.71075684451345E+18</v>
      </c>
      <c r="G8" t="s">
        <v>646</v>
      </c>
    </row>
    <row r="9" spans="1:7" hidden="1" x14ac:dyDescent="0.3">
      <c r="A9" t="s">
        <v>22</v>
      </c>
      <c r="B9">
        <v>1710756844489</v>
      </c>
      <c r="C9">
        <f t="shared" si="0"/>
        <v>4</v>
      </c>
      <c r="D9" t="str">
        <f t="shared" si="1"/>
        <v/>
      </c>
      <c r="E9" t="s">
        <v>23</v>
      </c>
      <c r="F9">
        <v>1.71075684448944E+18</v>
      </c>
      <c r="G9" t="s">
        <v>25</v>
      </c>
    </row>
    <row r="10" spans="1:7" x14ac:dyDescent="0.3">
      <c r="A10" t="s">
        <v>647</v>
      </c>
      <c r="B10">
        <v>1710756843530</v>
      </c>
      <c r="C10">
        <f t="shared" si="0"/>
        <v>5</v>
      </c>
      <c r="D10">
        <f t="shared" si="1"/>
        <v>-2.1000000000000001E-2</v>
      </c>
      <c r="E10" t="s">
        <v>648</v>
      </c>
      <c r="F10">
        <v>1.71075684353038E+18</v>
      </c>
      <c r="G10" t="s">
        <v>649</v>
      </c>
    </row>
    <row r="11" spans="1:7" hidden="1" x14ac:dyDescent="0.3">
      <c r="A11" t="s">
        <v>30</v>
      </c>
      <c r="B11">
        <v>1710756843509</v>
      </c>
      <c r="C11">
        <f t="shared" si="0"/>
        <v>5</v>
      </c>
      <c r="D11" t="str">
        <f t="shared" si="1"/>
        <v/>
      </c>
      <c r="E11" t="s">
        <v>31</v>
      </c>
      <c r="F11">
        <v>1.71075684350945E+18</v>
      </c>
      <c r="G11" t="s">
        <v>33</v>
      </c>
    </row>
    <row r="12" spans="1:7" x14ac:dyDescent="0.3">
      <c r="A12" t="s">
        <v>650</v>
      </c>
      <c r="B12">
        <v>1710756842509</v>
      </c>
      <c r="C12">
        <f t="shared" si="0"/>
        <v>6</v>
      </c>
      <c r="D12">
        <f t="shared" si="1"/>
        <v>-0.02</v>
      </c>
      <c r="E12" t="s">
        <v>651</v>
      </c>
      <c r="F12">
        <v>1.7107568425099E+18</v>
      </c>
      <c r="G12" t="s">
        <v>652</v>
      </c>
    </row>
    <row r="13" spans="1:7" hidden="1" x14ac:dyDescent="0.3">
      <c r="A13" t="s">
        <v>38</v>
      </c>
      <c r="B13">
        <v>1710756842489</v>
      </c>
      <c r="C13">
        <f t="shared" si="0"/>
        <v>6</v>
      </c>
      <c r="D13" t="str">
        <f t="shared" si="1"/>
        <v/>
      </c>
      <c r="E13" t="s">
        <v>39</v>
      </c>
      <c r="F13">
        <v>1.71075684248926E+18</v>
      </c>
      <c r="G13" t="s">
        <v>41</v>
      </c>
    </row>
    <row r="14" spans="1:7" x14ac:dyDescent="0.3">
      <c r="A14" t="s">
        <v>653</v>
      </c>
      <c r="B14">
        <v>1710756841322</v>
      </c>
      <c r="C14">
        <f t="shared" si="0"/>
        <v>7</v>
      </c>
      <c r="D14">
        <f t="shared" si="1"/>
        <v>-2.1000000000000001E-2</v>
      </c>
      <c r="E14" t="s">
        <v>654</v>
      </c>
      <c r="F14">
        <v>1.7107568413228101E+18</v>
      </c>
      <c r="G14" t="s">
        <v>655</v>
      </c>
    </row>
    <row r="15" spans="1:7" hidden="1" x14ac:dyDescent="0.3">
      <c r="A15" t="s">
        <v>46</v>
      </c>
      <c r="B15">
        <v>1710756841301</v>
      </c>
      <c r="C15">
        <f t="shared" si="0"/>
        <v>7</v>
      </c>
      <c r="D15" t="str">
        <f t="shared" si="1"/>
        <v/>
      </c>
      <c r="E15" t="s">
        <v>47</v>
      </c>
      <c r="F15">
        <v>1.7107568413018399E+18</v>
      </c>
      <c r="G15" t="s">
        <v>49</v>
      </c>
    </row>
    <row r="16" spans="1:7" x14ac:dyDescent="0.3">
      <c r="A16" t="s">
        <v>656</v>
      </c>
      <c r="B16">
        <v>1710756840217</v>
      </c>
      <c r="C16">
        <f t="shared" si="0"/>
        <v>8</v>
      </c>
      <c r="D16">
        <f t="shared" si="1"/>
        <v>-0.02</v>
      </c>
      <c r="E16" t="s">
        <v>657</v>
      </c>
      <c r="F16">
        <v>1.71075684021777E+18</v>
      </c>
      <c r="G16" t="s">
        <v>658</v>
      </c>
    </row>
    <row r="17" spans="1:7" hidden="1" x14ac:dyDescent="0.3">
      <c r="A17" t="s">
        <v>54</v>
      </c>
      <c r="B17">
        <v>1710756840197</v>
      </c>
      <c r="C17">
        <f t="shared" si="0"/>
        <v>8</v>
      </c>
      <c r="D17" t="str">
        <f t="shared" si="1"/>
        <v/>
      </c>
      <c r="E17" t="s">
        <v>55</v>
      </c>
      <c r="F17">
        <v>1.71075684019709E+18</v>
      </c>
      <c r="G17" t="s">
        <v>57</v>
      </c>
    </row>
    <row r="18" spans="1:7" x14ac:dyDescent="0.3">
      <c r="A18" t="s">
        <v>659</v>
      </c>
      <c r="B18">
        <v>1710756839215</v>
      </c>
      <c r="C18">
        <f t="shared" si="0"/>
        <v>9</v>
      </c>
      <c r="D18">
        <f t="shared" si="1"/>
        <v>-2.1999999999999999E-2</v>
      </c>
      <c r="E18" t="s">
        <v>660</v>
      </c>
      <c r="F18">
        <v>1.7107568392157499E+18</v>
      </c>
      <c r="G18" t="s">
        <v>661</v>
      </c>
    </row>
    <row r="19" spans="1:7" hidden="1" x14ac:dyDescent="0.3">
      <c r="A19" t="s">
        <v>62</v>
      </c>
      <c r="B19">
        <v>1710756839193</v>
      </c>
      <c r="C19">
        <f t="shared" si="0"/>
        <v>9</v>
      </c>
      <c r="D19" t="str">
        <f t="shared" si="1"/>
        <v/>
      </c>
      <c r="E19" t="s">
        <v>63</v>
      </c>
      <c r="F19">
        <v>1.7107568391935401E+18</v>
      </c>
      <c r="G19" t="s">
        <v>65</v>
      </c>
    </row>
    <row r="20" spans="1:7" x14ac:dyDescent="0.3">
      <c r="A20" t="s">
        <v>662</v>
      </c>
      <c r="B20">
        <v>1710756838130</v>
      </c>
      <c r="C20">
        <f t="shared" si="0"/>
        <v>10</v>
      </c>
      <c r="D20">
        <f t="shared" si="1"/>
        <v>-3.6999999999999998E-2</v>
      </c>
      <c r="E20" t="s">
        <v>663</v>
      </c>
      <c r="F20">
        <v>1.7107568381303501E+18</v>
      </c>
      <c r="G20" t="s">
        <v>664</v>
      </c>
    </row>
    <row r="21" spans="1:7" hidden="1" x14ac:dyDescent="0.3">
      <c r="A21" t="s">
        <v>70</v>
      </c>
      <c r="B21">
        <v>1710756838093</v>
      </c>
      <c r="C21">
        <f t="shared" si="0"/>
        <v>10</v>
      </c>
      <c r="D21" t="str">
        <f t="shared" si="1"/>
        <v/>
      </c>
      <c r="E21" t="s">
        <v>71</v>
      </c>
      <c r="F21">
        <v>1.7107568380936599E+18</v>
      </c>
      <c r="G21" t="s">
        <v>73</v>
      </c>
    </row>
    <row r="22" spans="1:7" x14ac:dyDescent="0.3">
      <c r="A22" t="s">
        <v>665</v>
      </c>
      <c r="B22">
        <v>1710756837087</v>
      </c>
      <c r="C22">
        <f t="shared" si="0"/>
        <v>11</v>
      </c>
      <c r="D22">
        <f t="shared" si="1"/>
        <v>-2.1000000000000001E-2</v>
      </c>
      <c r="E22" t="s">
        <v>666</v>
      </c>
      <c r="F22">
        <v>1.71075683708701E+18</v>
      </c>
      <c r="G22" t="s">
        <v>667</v>
      </c>
    </row>
    <row r="23" spans="1:7" hidden="1" x14ac:dyDescent="0.3">
      <c r="A23" t="s">
        <v>78</v>
      </c>
      <c r="B23">
        <v>1710756837066</v>
      </c>
      <c r="C23">
        <f t="shared" si="0"/>
        <v>11</v>
      </c>
      <c r="D23" t="str">
        <f t="shared" si="1"/>
        <v/>
      </c>
      <c r="E23" t="s">
        <v>79</v>
      </c>
      <c r="F23">
        <v>1.7107568370661701E+18</v>
      </c>
      <c r="G23" t="s">
        <v>81</v>
      </c>
    </row>
    <row r="24" spans="1:7" x14ac:dyDescent="0.3">
      <c r="A24" t="s">
        <v>668</v>
      </c>
      <c r="B24">
        <v>1710756836073</v>
      </c>
      <c r="C24">
        <f t="shared" si="0"/>
        <v>12</v>
      </c>
      <c r="D24">
        <f t="shared" si="1"/>
        <v>-2.1000000000000001E-2</v>
      </c>
      <c r="E24" t="s">
        <v>669</v>
      </c>
      <c r="F24">
        <v>1.7107568360736E+18</v>
      </c>
      <c r="G24" t="s">
        <v>670</v>
      </c>
    </row>
    <row r="25" spans="1:7" hidden="1" x14ac:dyDescent="0.3">
      <c r="A25" t="s">
        <v>86</v>
      </c>
      <c r="B25">
        <v>1710756836052</v>
      </c>
      <c r="C25">
        <f t="shared" si="0"/>
        <v>12</v>
      </c>
      <c r="D25" t="str">
        <f t="shared" si="1"/>
        <v/>
      </c>
      <c r="E25" t="s">
        <v>87</v>
      </c>
      <c r="F25">
        <v>1.7107568360523599E+18</v>
      </c>
      <c r="G25" t="s">
        <v>89</v>
      </c>
    </row>
    <row r="26" spans="1:7" x14ac:dyDescent="0.3">
      <c r="A26" t="s">
        <v>671</v>
      </c>
      <c r="B26">
        <v>1710756834384</v>
      </c>
      <c r="C26">
        <f t="shared" si="0"/>
        <v>13</v>
      </c>
      <c r="D26">
        <f t="shared" si="1"/>
        <v>-2.5000000000000001E-2</v>
      </c>
      <c r="E26" t="s">
        <v>672</v>
      </c>
      <c r="F26">
        <v>1.7107568343842401E+18</v>
      </c>
      <c r="G26" t="s">
        <v>673</v>
      </c>
    </row>
    <row r="27" spans="1:7" hidden="1" x14ac:dyDescent="0.3">
      <c r="A27" t="s">
        <v>94</v>
      </c>
      <c r="B27">
        <v>1710756834359</v>
      </c>
      <c r="C27">
        <f t="shared" si="0"/>
        <v>13</v>
      </c>
      <c r="D27" t="str">
        <f t="shared" si="1"/>
        <v/>
      </c>
      <c r="E27" t="s">
        <v>95</v>
      </c>
      <c r="F27">
        <v>1.71075683435923E+18</v>
      </c>
      <c r="G27" t="s">
        <v>97</v>
      </c>
    </row>
    <row r="28" spans="1:7" x14ac:dyDescent="0.3">
      <c r="A28" t="s">
        <v>674</v>
      </c>
      <c r="B28">
        <v>1710756833453</v>
      </c>
      <c r="C28">
        <f t="shared" si="0"/>
        <v>14</v>
      </c>
      <c r="D28">
        <f t="shared" si="1"/>
        <v>-2.9000000000000001E-2</v>
      </c>
      <c r="E28" t="s">
        <v>675</v>
      </c>
      <c r="F28">
        <v>1.7107568334539599E+18</v>
      </c>
      <c r="G28" t="s">
        <v>676</v>
      </c>
    </row>
    <row r="29" spans="1:7" hidden="1" x14ac:dyDescent="0.3">
      <c r="A29" t="s">
        <v>102</v>
      </c>
      <c r="B29">
        <v>1710756833424</v>
      </c>
      <c r="C29">
        <f t="shared" si="0"/>
        <v>14</v>
      </c>
      <c r="D29" t="str">
        <f t="shared" si="1"/>
        <v/>
      </c>
      <c r="E29" t="s">
        <v>103</v>
      </c>
      <c r="F29">
        <v>1.7107568334245E+18</v>
      </c>
      <c r="G29" t="s">
        <v>105</v>
      </c>
    </row>
    <row r="30" spans="1:7" x14ac:dyDescent="0.3">
      <c r="A30" t="s">
        <v>677</v>
      </c>
      <c r="B30">
        <v>1710756832372</v>
      </c>
      <c r="C30">
        <f t="shared" si="0"/>
        <v>15</v>
      </c>
      <c r="D30">
        <f t="shared" si="1"/>
        <v>-2.5000000000000001E-2</v>
      </c>
      <c r="E30" t="s">
        <v>678</v>
      </c>
      <c r="F30">
        <v>1.71075683237215E+18</v>
      </c>
      <c r="G30" t="s">
        <v>679</v>
      </c>
    </row>
    <row r="31" spans="1:7" hidden="1" x14ac:dyDescent="0.3">
      <c r="A31" t="s">
        <v>110</v>
      </c>
      <c r="B31">
        <v>1710756832347</v>
      </c>
      <c r="C31">
        <f t="shared" si="0"/>
        <v>15</v>
      </c>
      <c r="D31" t="str">
        <f t="shared" si="1"/>
        <v/>
      </c>
      <c r="E31" t="s">
        <v>111</v>
      </c>
      <c r="F31">
        <v>1.7107568323477399E+18</v>
      </c>
      <c r="G31" t="s">
        <v>113</v>
      </c>
    </row>
    <row r="32" spans="1:7" x14ac:dyDescent="0.3">
      <c r="A32" t="s">
        <v>680</v>
      </c>
      <c r="B32">
        <v>1710756831430</v>
      </c>
      <c r="C32">
        <f t="shared" si="0"/>
        <v>16</v>
      </c>
      <c r="D32">
        <f t="shared" si="1"/>
        <v>-0.02</v>
      </c>
      <c r="E32" t="s">
        <v>681</v>
      </c>
      <c r="F32">
        <v>1.7107568314302799E+18</v>
      </c>
      <c r="G32" t="s">
        <v>682</v>
      </c>
    </row>
    <row r="33" spans="1:7" hidden="1" x14ac:dyDescent="0.3">
      <c r="A33" t="s">
        <v>118</v>
      </c>
      <c r="B33">
        <v>1710756831410</v>
      </c>
      <c r="C33">
        <f t="shared" si="0"/>
        <v>16</v>
      </c>
      <c r="D33" t="str">
        <f t="shared" si="1"/>
        <v/>
      </c>
      <c r="E33" t="s">
        <v>119</v>
      </c>
      <c r="F33">
        <v>1.7107568314106299E+18</v>
      </c>
      <c r="G33" t="s">
        <v>121</v>
      </c>
    </row>
    <row r="34" spans="1:7" x14ac:dyDescent="0.3">
      <c r="A34" t="s">
        <v>683</v>
      </c>
      <c r="B34">
        <v>1710756830527</v>
      </c>
      <c r="C34">
        <f t="shared" si="0"/>
        <v>17</v>
      </c>
      <c r="D34">
        <f t="shared" si="1"/>
        <v>-2.3E-2</v>
      </c>
      <c r="E34" t="s">
        <v>684</v>
      </c>
      <c r="F34">
        <v>1.7107568305271401E+18</v>
      </c>
      <c r="G34" t="s">
        <v>685</v>
      </c>
    </row>
    <row r="35" spans="1:7" hidden="1" x14ac:dyDescent="0.3">
      <c r="A35" t="s">
        <v>126</v>
      </c>
      <c r="B35">
        <v>1710756830504</v>
      </c>
      <c r="C35">
        <f t="shared" si="0"/>
        <v>17</v>
      </c>
      <c r="D35" t="str">
        <f t="shared" si="1"/>
        <v/>
      </c>
      <c r="E35" t="s">
        <v>127</v>
      </c>
      <c r="F35">
        <v>1.7107568305045601E+18</v>
      </c>
      <c r="G35" t="s">
        <v>129</v>
      </c>
    </row>
    <row r="36" spans="1:7" x14ac:dyDescent="0.3">
      <c r="A36" t="s">
        <v>686</v>
      </c>
      <c r="B36">
        <v>1710756829476</v>
      </c>
      <c r="C36">
        <f t="shared" si="0"/>
        <v>18</v>
      </c>
      <c r="D36">
        <f t="shared" si="1"/>
        <v>-2.3E-2</v>
      </c>
      <c r="E36" t="s">
        <v>687</v>
      </c>
      <c r="F36">
        <v>1.7107568294765901E+18</v>
      </c>
      <c r="G36" t="s">
        <v>688</v>
      </c>
    </row>
    <row r="37" spans="1:7" hidden="1" x14ac:dyDescent="0.3">
      <c r="A37" t="s">
        <v>134</v>
      </c>
      <c r="B37">
        <v>1710756829453</v>
      </c>
      <c r="C37">
        <f t="shared" si="0"/>
        <v>18</v>
      </c>
      <c r="D37" t="str">
        <f t="shared" si="1"/>
        <v/>
      </c>
      <c r="E37" t="s">
        <v>135</v>
      </c>
      <c r="F37">
        <v>1.71075682945328E+18</v>
      </c>
      <c r="G37" t="s">
        <v>137</v>
      </c>
    </row>
    <row r="38" spans="1:7" x14ac:dyDescent="0.3">
      <c r="A38" t="s">
        <v>689</v>
      </c>
      <c r="B38">
        <v>1710756828620</v>
      </c>
      <c r="C38">
        <f t="shared" si="0"/>
        <v>19</v>
      </c>
      <c r="D38">
        <f t="shared" si="1"/>
        <v>-0.02</v>
      </c>
      <c r="E38" t="s">
        <v>690</v>
      </c>
      <c r="F38">
        <v>1.7107568286203699E+18</v>
      </c>
      <c r="G38" t="s">
        <v>691</v>
      </c>
    </row>
    <row r="39" spans="1:7" hidden="1" x14ac:dyDescent="0.3">
      <c r="A39" t="s">
        <v>142</v>
      </c>
      <c r="B39">
        <v>1710756828600</v>
      </c>
      <c r="C39">
        <f t="shared" si="0"/>
        <v>19</v>
      </c>
      <c r="D39" t="str">
        <f t="shared" si="1"/>
        <v/>
      </c>
      <c r="E39" t="s">
        <v>143</v>
      </c>
      <c r="F39">
        <v>1.71075682860034E+18</v>
      </c>
      <c r="G39" t="s">
        <v>145</v>
      </c>
    </row>
    <row r="40" spans="1:7" x14ac:dyDescent="0.3">
      <c r="A40" t="s">
        <v>692</v>
      </c>
      <c r="B40">
        <v>1710756827755</v>
      </c>
      <c r="C40">
        <f t="shared" si="0"/>
        <v>20</v>
      </c>
      <c r="D40">
        <f t="shared" si="1"/>
        <v>-2.1000000000000001E-2</v>
      </c>
      <c r="E40" t="s">
        <v>693</v>
      </c>
      <c r="F40">
        <v>1.7107568277558799E+18</v>
      </c>
      <c r="G40" t="s">
        <v>694</v>
      </c>
    </row>
    <row r="41" spans="1:7" hidden="1" x14ac:dyDescent="0.3">
      <c r="A41" t="s">
        <v>150</v>
      </c>
      <c r="B41">
        <v>1710756827734</v>
      </c>
      <c r="C41">
        <f t="shared" si="0"/>
        <v>20</v>
      </c>
      <c r="D41" t="str">
        <f t="shared" si="1"/>
        <v/>
      </c>
      <c r="E41" t="s">
        <v>151</v>
      </c>
      <c r="F41">
        <v>1.71075682773425E+18</v>
      </c>
      <c r="G41" t="s">
        <v>153</v>
      </c>
    </row>
    <row r="42" spans="1:7" x14ac:dyDescent="0.3">
      <c r="A42" t="s">
        <v>695</v>
      </c>
      <c r="B42">
        <v>1710756826675</v>
      </c>
      <c r="C42">
        <f t="shared" si="0"/>
        <v>21</v>
      </c>
      <c r="D42">
        <f t="shared" si="1"/>
        <v>-1.9E-2</v>
      </c>
      <c r="E42" t="s">
        <v>696</v>
      </c>
      <c r="F42">
        <v>1.7107568266757601E+18</v>
      </c>
      <c r="G42" t="s">
        <v>697</v>
      </c>
    </row>
    <row r="43" spans="1:7" hidden="1" x14ac:dyDescent="0.3">
      <c r="A43" t="s">
        <v>158</v>
      </c>
      <c r="B43">
        <v>1710756826656</v>
      </c>
      <c r="C43">
        <f t="shared" si="0"/>
        <v>21</v>
      </c>
      <c r="D43" t="str">
        <f t="shared" si="1"/>
        <v/>
      </c>
      <c r="E43" t="s">
        <v>159</v>
      </c>
      <c r="F43">
        <v>1.71075682665635E+18</v>
      </c>
      <c r="G43" t="s">
        <v>161</v>
      </c>
    </row>
    <row r="44" spans="1:7" x14ac:dyDescent="0.3">
      <c r="A44" t="s">
        <v>698</v>
      </c>
      <c r="B44">
        <v>1710756825398</v>
      </c>
      <c r="C44">
        <f t="shared" si="0"/>
        <v>22</v>
      </c>
      <c r="D44">
        <f t="shared" si="1"/>
        <v>-2.4E-2</v>
      </c>
      <c r="E44" t="s">
        <v>699</v>
      </c>
      <c r="F44">
        <v>1.7107568253982001E+18</v>
      </c>
      <c r="G44" t="s">
        <v>700</v>
      </c>
    </row>
    <row r="45" spans="1:7" hidden="1" x14ac:dyDescent="0.3">
      <c r="A45" t="s">
        <v>166</v>
      </c>
      <c r="B45">
        <v>1710756825374</v>
      </c>
      <c r="C45">
        <f t="shared" si="0"/>
        <v>22</v>
      </c>
      <c r="D45" t="str">
        <f t="shared" si="1"/>
        <v/>
      </c>
      <c r="E45" t="s">
        <v>167</v>
      </c>
      <c r="F45">
        <v>1.71075682537487E+18</v>
      </c>
      <c r="G45" t="s">
        <v>169</v>
      </c>
    </row>
    <row r="46" spans="1:7" x14ac:dyDescent="0.3">
      <c r="A46" t="s">
        <v>701</v>
      </c>
      <c r="B46">
        <v>1710756824017</v>
      </c>
      <c r="C46">
        <f t="shared" si="0"/>
        <v>23</v>
      </c>
      <c r="D46">
        <f t="shared" si="1"/>
        <v>-2.1000000000000001E-2</v>
      </c>
      <c r="E46" t="s">
        <v>702</v>
      </c>
      <c r="F46">
        <v>1.71075682401763E+18</v>
      </c>
      <c r="G46" t="s">
        <v>703</v>
      </c>
    </row>
    <row r="47" spans="1:7" hidden="1" x14ac:dyDescent="0.3">
      <c r="A47" t="s">
        <v>174</v>
      </c>
      <c r="B47">
        <v>1710756823996</v>
      </c>
      <c r="C47">
        <f t="shared" si="0"/>
        <v>23</v>
      </c>
      <c r="D47" t="str">
        <f t="shared" si="1"/>
        <v/>
      </c>
      <c r="E47" t="s">
        <v>175</v>
      </c>
      <c r="F47">
        <v>1.7107568239966799E+18</v>
      </c>
      <c r="G47" t="s">
        <v>177</v>
      </c>
    </row>
    <row r="48" spans="1:7" x14ac:dyDescent="0.3">
      <c r="A48" t="s">
        <v>704</v>
      </c>
      <c r="B48">
        <v>1710756822693</v>
      </c>
      <c r="C48">
        <f t="shared" si="0"/>
        <v>24</v>
      </c>
      <c r="D48">
        <f t="shared" si="1"/>
        <v>-2.5000000000000001E-2</v>
      </c>
      <c r="E48" t="s">
        <v>705</v>
      </c>
      <c r="F48">
        <v>1.7107568226930401E+18</v>
      </c>
      <c r="G48" t="s">
        <v>706</v>
      </c>
    </row>
    <row r="49" spans="1:7" hidden="1" x14ac:dyDescent="0.3">
      <c r="A49" t="s">
        <v>182</v>
      </c>
      <c r="B49">
        <v>1710756822668</v>
      </c>
      <c r="C49">
        <f t="shared" si="0"/>
        <v>24</v>
      </c>
      <c r="D49" t="str">
        <f t="shared" si="1"/>
        <v/>
      </c>
      <c r="E49" t="s">
        <v>183</v>
      </c>
      <c r="F49">
        <v>1.7107568226685701E+18</v>
      </c>
      <c r="G49" t="s">
        <v>185</v>
      </c>
    </row>
    <row r="50" spans="1:7" x14ac:dyDescent="0.3">
      <c r="A50" t="s">
        <v>707</v>
      </c>
      <c r="B50">
        <v>1710756821585</v>
      </c>
      <c r="C50">
        <f t="shared" si="0"/>
        <v>25</v>
      </c>
      <c r="D50">
        <f t="shared" si="1"/>
        <v>-2.5999999999999999E-2</v>
      </c>
      <c r="E50" t="s">
        <v>708</v>
      </c>
      <c r="F50">
        <v>1.71075682158547E+18</v>
      </c>
      <c r="G50" t="s">
        <v>709</v>
      </c>
    </row>
    <row r="51" spans="1:7" hidden="1" x14ac:dyDescent="0.3">
      <c r="A51" t="s">
        <v>190</v>
      </c>
      <c r="B51">
        <v>1710756821559</v>
      </c>
      <c r="C51">
        <f t="shared" si="0"/>
        <v>25</v>
      </c>
      <c r="D51" t="str">
        <f t="shared" si="1"/>
        <v/>
      </c>
      <c r="E51" t="s">
        <v>191</v>
      </c>
      <c r="F51">
        <v>1.7107568215597599E+18</v>
      </c>
      <c r="G51" t="s">
        <v>193</v>
      </c>
    </row>
    <row r="52" spans="1:7" x14ac:dyDescent="0.3">
      <c r="A52" t="s">
        <v>710</v>
      </c>
      <c r="B52">
        <v>1710756820215</v>
      </c>
      <c r="C52">
        <f t="shared" si="0"/>
        <v>26</v>
      </c>
      <c r="D52">
        <f t="shared" si="1"/>
        <v>-0.02</v>
      </c>
      <c r="E52" t="s">
        <v>711</v>
      </c>
      <c r="F52">
        <v>1.71075682021539E+18</v>
      </c>
      <c r="G52" t="s">
        <v>712</v>
      </c>
    </row>
    <row r="53" spans="1:7" hidden="1" x14ac:dyDescent="0.3">
      <c r="A53" t="s">
        <v>198</v>
      </c>
      <c r="B53">
        <v>1710756820195</v>
      </c>
      <c r="C53">
        <f t="shared" si="0"/>
        <v>26</v>
      </c>
      <c r="D53" t="str">
        <f t="shared" si="1"/>
        <v/>
      </c>
      <c r="E53" t="s">
        <v>199</v>
      </c>
      <c r="F53">
        <v>1.71075682019536E+18</v>
      </c>
      <c r="G53" t="s">
        <v>201</v>
      </c>
    </row>
    <row r="54" spans="1:7" x14ac:dyDescent="0.3">
      <c r="A54" t="s">
        <v>713</v>
      </c>
      <c r="B54">
        <v>1710756818831</v>
      </c>
      <c r="C54">
        <f t="shared" si="0"/>
        <v>27</v>
      </c>
      <c r="D54">
        <f t="shared" si="1"/>
        <v>-0.157</v>
      </c>
      <c r="E54" t="s">
        <v>714</v>
      </c>
      <c r="F54">
        <v>1.71075681883138E+18</v>
      </c>
      <c r="G54" t="s">
        <v>715</v>
      </c>
    </row>
    <row r="55" spans="1:7" hidden="1" x14ac:dyDescent="0.3">
      <c r="A55" t="s">
        <v>206</v>
      </c>
      <c r="B55">
        <v>1710756818674</v>
      </c>
      <c r="C55">
        <f t="shared" si="0"/>
        <v>27</v>
      </c>
      <c r="D55" t="str">
        <f t="shared" si="1"/>
        <v/>
      </c>
      <c r="E55" t="s">
        <v>207</v>
      </c>
      <c r="F55">
        <v>1.7107568186741901E+18</v>
      </c>
      <c r="G55" t="s">
        <v>209</v>
      </c>
    </row>
    <row r="56" spans="1:7" x14ac:dyDescent="0.3">
      <c r="A56" t="s">
        <v>716</v>
      </c>
      <c r="B56">
        <v>1710756817462</v>
      </c>
      <c r="C56">
        <f t="shared" si="0"/>
        <v>28</v>
      </c>
      <c r="D56">
        <f t="shared" si="1"/>
        <v>-2.1000000000000001E-2</v>
      </c>
      <c r="E56" t="s">
        <v>717</v>
      </c>
      <c r="F56">
        <v>1.71075681746205E+18</v>
      </c>
      <c r="G56" t="s">
        <v>718</v>
      </c>
    </row>
    <row r="57" spans="1:7" hidden="1" x14ac:dyDescent="0.3">
      <c r="A57" t="s">
        <v>214</v>
      </c>
      <c r="B57">
        <v>1710756817441</v>
      </c>
      <c r="C57">
        <f t="shared" si="0"/>
        <v>28</v>
      </c>
      <c r="D57" t="str">
        <f t="shared" si="1"/>
        <v/>
      </c>
      <c r="E57" t="s">
        <v>215</v>
      </c>
      <c r="F57">
        <v>1.7107568174414001E+18</v>
      </c>
      <c r="G57" t="s">
        <v>217</v>
      </c>
    </row>
    <row r="58" spans="1:7" x14ac:dyDescent="0.3">
      <c r="A58" t="s">
        <v>719</v>
      </c>
      <c r="B58">
        <v>1710756816587</v>
      </c>
      <c r="C58">
        <f t="shared" si="0"/>
        <v>29</v>
      </c>
      <c r="D58">
        <f t="shared" si="1"/>
        <v>-2.1000000000000001E-2</v>
      </c>
      <c r="E58" t="s">
        <v>720</v>
      </c>
      <c r="F58">
        <v>1.7107568165877601E+18</v>
      </c>
      <c r="G58" t="s">
        <v>721</v>
      </c>
    </row>
    <row r="59" spans="1:7" hidden="1" x14ac:dyDescent="0.3">
      <c r="A59" t="s">
        <v>222</v>
      </c>
      <c r="B59">
        <v>1710756816566</v>
      </c>
      <c r="C59">
        <f t="shared" si="0"/>
        <v>29</v>
      </c>
      <c r="D59" t="str">
        <f t="shared" si="1"/>
        <v/>
      </c>
      <c r="E59" t="s">
        <v>223</v>
      </c>
      <c r="F59">
        <v>1.71075681656638E+18</v>
      </c>
      <c r="G59" t="s">
        <v>225</v>
      </c>
    </row>
    <row r="60" spans="1:7" x14ac:dyDescent="0.3">
      <c r="A60" t="s">
        <v>722</v>
      </c>
      <c r="B60">
        <v>1710756815721</v>
      </c>
      <c r="C60">
        <f t="shared" si="0"/>
        <v>30</v>
      </c>
      <c r="D60">
        <f t="shared" si="1"/>
        <v>-2.4E-2</v>
      </c>
      <c r="E60" t="s">
        <v>723</v>
      </c>
      <c r="F60">
        <v>1.7107568157211799E+18</v>
      </c>
      <c r="G60" t="s">
        <v>724</v>
      </c>
    </row>
    <row r="61" spans="1:7" hidden="1" x14ac:dyDescent="0.3">
      <c r="A61" t="s">
        <v>230</v>
      </c>
      <c r="B61">
        <v>1710756815697</v>
      </c>
      <c r="C61">
        <f t="shared" si="0"/>
        <v>30</v>
      </c>
      <c r="D61" t="str">
        <f t="shared" si="1"/>
        <v/>
      </c>
      <c r="E61" t="s">
        <v>231</v>
      </c>
      <c r="F61">
        <v>1.7107568156978401E+18</v>
      </c>
      <c r="G61" t="s">
        <v>233</v>
      </c>
    </row>
    <row r="62" spans="1:7" x14ac:dyDescent="0.3">
      <c r="A62" t="s">
        <v>725</v>
      </c>
      <c r="B62">
        <v>1710756814797</v>
      </c>
      <c r="C62">
        <f t="shared" si="0"/>
        <v>31</v>
      </c>
      <c r="D62">
        <f t="shared" si="1"/>
        <v>-2.1999999999999999E-2</v>
      </c>
      <c r="E62" t="s">
        <v>726</v>
      </c>
      <c r="F62">
        <v>1.7107568147972201E+18</v>
      </c>
      <c r="G62" t="s">
        <v>727</v>
      </c>
    </row>
    <row r="63" spans="1:7" hidden="1" x14ac:dyDescent="0.3">
      <c r="A63" t="s">
        <v>238</v>
      </c>
      <c r="B63">
        <v>1710756814775</v>
      </c>
      <c r="C63">
        <f t="shared" si="0"/>
        <v>31</v>
      </c>
      <c r="D63" t="str">
        <f t="shared" si="1"/>
        <v/>
      </c>
      <c r="E63" t="s">
        <v>239</v>
      </c>
      <c r="F63">
        <v>1.7107568147752399E+18</v>
      </c>
      <c r="G63" t="s">
        <v>241</v>
      </c>
    </row>
    <row r="64" spans="1:7" x14ac:dyDescent="0.3">
      <c r="A64" t="s">
        <v>728</v>
      </c>
      <c r="B64">
        <v>1710756813873</v>
      </c>
      <c r="C64">
        <f t="shared" si="0"/>
        <v>32</v>
      </c>
      <c r="D64">
        <f t="shared" si="1"/>
        <v>-2.4E-2</v>
      </c>
      <c r="E64" t="s">
        <v>729</v>
      </c>
      <c r="F64">
        <v>1.71075681387315E+18</v>
      </c>
      <c r="G64" t="s">
        <v>730</v>
      </c>
    </row>
    <row r="65" spans="1:7" hidden="1" x14ac:dyDescent="0.3">
      <c r="A65" t="s">
        <v>246</v>
      </c>
      <c r="B65">
        <v>1710756813849</v>
      </c>
      <c r="C65">
        <f t="shared" si="0"/>
        <v>32</v>
      </c>
      <c r="D65" t="str">
        <f t="shared" si="1"/>
        <v/>
      </c>
      <c r="E65" t="s">
        <v>247</v>
      </c>
      <c r="F65">
        <v>1.7107568138498801E+18</v>
      </c>
      <c r="G65" t="s">
        <v>249</v>
      </c>
    </row>
    <row r="66" spans="1:7" x14ac:dyDescent="0.3">
      <c r="A66" t="s">
        <v>731</v>
      </c>
      <c r="B66">
        <v>1710756812834</v>
      </c>
      <c r="C66">
        <f t="shared" si="0"/>
        <v>33</v>
      </c>
      <c r="D66">
        <f t="shared" si="1"/>
        <v>-1E-3</v>
      </c>
      <c r="E66" t="s">
        <v>732</v>
      </c>
      <c r="F66">
        <v>1.7107568128341801E+18</v>
      </c>
      <c r="G66" t="s">
        <v>733</v>
      </c>
    </row>
    <row r="67" spans="1:7" hidden="1" x14ac:dyDescent="0.3">
      <c r="A67" t="s">
        <v>254</v>
      </c>
      <c r="B67">
        <v>1710756812833</v>
      </c>
      <c r="C67">
        <f t="shared" ref="C67:C81" si="2">INT(ROW()/2)</f>
        <v>33</v>
      </c>
      <c r="D67" t="str">
        <f t="shared" ref="D67:D81" si="3">IF(MOD(ROW(),2)=0,(B68-B67)/1000,"")</f>
        <v/>
      </c>
      <c r="E67" t="s">
        <v>255</v>
      </c>
      <c r="F67">
        <v>1.7107568128336699E+18</v>
      </c>
      <c r="G67" t="s">
        <v>257</v>
      </c>
    </row>
    <row r="68" spans="1:7" x14ac:dyDescent="0.3">
      <c r="A68" t="s">
        <v>734</v>
      </c>
      <c r="B68">
        <v>1710756811711</v>
      </c>
      <c r="C68">
        <f t="shared" si="2"/>
        <v>34</v>
      </c>
      <c r="D68">
        <f t="shared" si="3"/>
        <v>-2.5999999999999999E-2</v>
      </c>
      <c r="E68" t="s">
        <v>735</v>
      </c>
      <c r="F68">
        <v>1.7107568117114199E+18</v>
      </c>
      <c r="G68" t="s">
        <v>736</v>
      </c>
    </row>
    <row r="69" spans="1:7" hidden="1" x14ac:dyDescent="0.3">
      <c r="A69" t="s">
        <v>262</v>
      </c>
      <c r="B69">
        <v>1710756811685</v>
      </c>
      <c r="C69">
        <f t="shared" si="2"/>
        <v>34</v>
      </c>
      <c r="D69" t="str">
        <f t="shared" si="3"/>
        <v/>
      </c>
      <c r="E69" t="s">
        <v>263</v>
      </c>
      <c r="F69">
        <v>1.71075681168515E+18</v>
      </c>
      <c r="G69" t="s">
        <v>265</v>
      </c>
    </row>
    <row r="70" spans="1:7" x14ac:dyDescent="0.3">
      <c r="A70" t="s">
        <v>737</v>
      </c>
      <c r="B70">
        <v>1710756810672</v>
      </c>
      <c r="C70">
        <f t="shared" si="2"/>
        <v>35</v>
      </c>
      <c r="D70">
        <f t="shared" si="3"/>
        <v>-2.3E-2</v>
      </c>
      <c r="E70" t="s">
        <v>738</v>
      </c>
      <c r="F70">
        <v>1.71075681067202E+18</v>
      </c>
      <c r="G70" t="s">
        <v>739</v>
      </c>
    </row>
    <row r="71" spans="1:7" hidden="1" x14ac:dyDescent="0.3">
      <c r="A71" t="s">
        <v>270</v>
      </c>
      <c r="B71">
        <v>1710756810649</v>
      </c>
      <c r="C71">
        <f t="shared" si="2"/>
        <v>35</v>
      </c>
      <c r="D71" t="str">
        <f t="shared" si="3"/>
        <v/>
      </c>
      <c r="E71" t="s">
        <v>271</v>
      </c>
      <c r="F71">
        <v>1.7107568106493801E+18</v>
      </c>
      <c r="G71" t="s">
        <v>273</v>
      </c>
    </row>
    <row r="72" spans="1:7" x14ac:dyDescent="0.3">
      <c r="A72" t="s">
        <v>740</v>
      </c>
      <c r="B72">
        <v>1710756809677</v>
      </c>
      <c r="C72">
        <f t="shared" si="2"/>
        <v>36</v>
      </c>
      <c r="D72">
        <f t="shared" si="3"/>
        <v>-2.1999999999999999E-2</v>
      </c>
      <c r="E72" t="s">
        <v>741</v>
      </c>
      <c r="F72">
        <v>1.7107568096776901E+18</v>
      </c>
      <c r="G72" t="s">
        <v>742</v>
      </c>
    </row>
    <row r="73" spans="1:7" hidden="1" x14ac:dyDescent="0.3">
      <c r="A73" t="s">
        <v>278</v>
      </c>
      <c r="B73">
        <v>1710756809655</v>
      </c>
      <c r="C73">
        <f t="shared" si="2"/>
        <v>36</v>
      </c>
      <c r="D73" t="str">
        <f t="shared" si="3"/>
        <v/>
      </c>
      <c r="E73" t="s">
        <v>279</v>
      </c>
      <c r="F73">
        <v>1.7107568096550001E+18</v>
      </c>
      <c r="G73" t="s">
        <v>281</v>
      </c>
    </row>
    <row r="74" spans="1:7" x14ac:dyDescent="0.3">
      <c r="A74" t="s">
        <v>743</v>
      </c>
      <c r="B74">
        <v>1710756808760</v>
      </c>
      <c r="C74">
        <f t="shared" si="2"/>
        <v>37</v>
      </c>
      <c r="D74">
        <f t="shared" si="3"/>
        <v>-2.1999999999999999E-2</v>
      </c>
      <c r="E74" t="s">
        <v>744</v>
      </c>
      <c r="F74">
        <v>1.7107568087608801E+18</v>
      </c>
      <c r="G74" t="s">
        <v>745</v>
      </c>
    </row>
    <row r="75" spans="1:7" hidden="1" x14ac:dyDescent="0.3">
      <c r="A75" t="s">
        <v>286</v>
      </c>
      <c r="B75">
        <v>1710756808738</v>
      </c>
      <c r="C75">
        <f t="shared" si="2"/>
        <v>37</v>
      </c>
      <c r="D75" t="str">
        <f t="shared" si="3"/>
        <v/>
      </c>
      <c r="E75" t="s">
        <v>287</v>
      </c>
      <c r="F75">
        <v>1.7107568087380201E+18</v>
      </c>
      <c r="G75" t="s">
        <v>289</v>
      </c>
    </row>
    <row r="76" spans="1:7" x14ac:dyDescent="0.3">
      <c r="A76" t="s">
        <v>746</v>
      </c>
      <c r="B76">
        <v>1710756807796</v>
      </c>
      <c r="C76">
        <f t="shared" si="2"/>
        <v>38</v>
      </c>
      <c r="D76">
        <f t="shared" si="3"/>
        <v>-2.3E-2</v>
      </c>
      <c r="E76" t="s">
        <v>747</v>
      </c>
      <c r="F76">
        <v>1.71075680779679E+18</v>
      </c>
      <c r="G76" t="s">
        <v>748</v>
      </c>
    </row>
    <row r="77" spans="1:7" hidden="1" x14ac:dyDescent="0.3">
      <c r="A77" t="s">
        <v>294</v>
      </c>
      <c r="B77">
        <v>1710756807773</v>
      </c>
      <c r="C77">
        <f t="shared" si="2"/>
        <v>38</v>
      </c>
      <c r="D77" t="str">
        <f t="shared" si="3"/>
        <v/>
      </c>
      <c r="E77" t="s">
        <v>295</v>
      </c>
      <c r="F77">
        <v>1.7107568077739899E+18</v>
      </c>
      <c r="G77" t="s">
        <v>297</v>
      </c>
    </row>
    <row r="78" spans="1:7" x14ac:dyDescent="0.3">
      <c r="A78" t="s">
        <v>749</v>
      </c>
      <c r="B78">
        <v>1710756806824</v>
      </c>
      <c r="C78">
        <f t="shared" si="2"/>
        <v>39</v>
      </c>
      <c r="D78">
        <f t="shared" si="3"/>
        <v>-2.1999999999999999E-2</v>
      </c>
      <c r="E78" t="s">
        <v>750</v>
      </c>
      <c r="F78">
        <v>1.71075680682496E+18</v>
      </c>
      <c r="G78" t="s">
        <v>751</v>
      </c>
    </row>
    <row r="79" spans="1:7" hidden="1" x14ac:dyDescent="0.3">
      <c r="A79" t="s">
        <v>302</v>
      </c>
      <c r="B79">
        <v>1710756806802</v>
      </c>
      <c r="C79">
        <f t="shared" si="2"/>
        <v>39</v>
      </c>
      <c r="D79" t="str">
        <f t="shared" si="3"/>
        <v/>
      </c>
      <c r="E79" t="s">
        <v>303</v>
      </c>
      <c r="F79">
        <v>1.7107568068024901E+18</v>
      </c>
      <c r="G79" t="s">
        <v>305</v>
      </c>
    </row>
    <row r="80" spans="1:7" x14ac:dyDescent="0.3">
      <c r="A80" t="s">
        <v>752</v>
      </c>
      <c r="B80">
        <v>1710756804959</v>
      </c>
      <c r="C80">
        <f t="shared" si="2"/>
        <v>40</v>
      </c>
      <c r="D80">
        <f t="shared" si="3"/>
        <v>-4.3999999999999997E-2</v>
      </c>
      <c r="E80" t="s">
        <v>753</v>
      </c>
      <c r="F80">
        <v>1.7107568049595599E+18</v>
      </c>
      <c r="G80" t="s">
        <v>754</v>
      </c>
    </row>
    <row r="81" spans="1:7" hidden="1" x14ac:dyDescent="0.3">
      <c r="A81" t="s">
        <v>310</v>
      </c>
      <c r="B81">
        <v>1710756804915</v>
      </c>
      <c r="C81">
        <f t="shared" si="2"/>
        <v>40</v>
      </c>
      <c r="D81" t="str">
        <f t="shared" si="3"/>
        <v/>
      </c>
      <c r="E81" t="s">
        <v>311</v>
      </c>
      <c r="F81">
        <v>1.7107568049157901E+18</v>
      </c>
      <c r="G81" t="s">
        <v>313</v>
      </c>
    </row>
    <row r="86" spans="1:7" x14ac:dyDescent="0.3">
      <c r="D86">
        <f>-AVERAGE(D2:D80)</f>
        <v>2.6125000000000016E-2</v>
      </c>
    </row>
    <row r="87" spans="1:7" x14ac:dyDescent="0.3">
      <c r="D87">
        <f>-SUM(D2:D80)</f>
        <v>1.0450000000000006</v>
      </c>
    </row>
  </sheetData>
  <autoFilter ref="A1:G81" xr:uid="{00000000-0009-0000-0000-000000000000}">
    <filterColumn colId="3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85A2-36A1-48FC-BCA9-E2D77D879407}">
  <dimension ref="A1:E7"/>
  <sheetViews>
    <sheetView workbookViewId="0">
      <selection activeCell="B8" sqref="B8"/>
    </sheetView>
  </sheetViews>
  <sheetFormatPr defaultRowHeight="16.2" x14ac:dyDescent="0.3"/>
  <cols>
    <col min="2" max="2" width="48.21875" customWidth="1"/>
  </cols>
  <sheetData>
    <row r="1" spans="1:5" x14ac:dyDescent="0.3">
      <c r="A1" t="s">
        <v>0</v>
      </c>
      <c r="B1" t="s">
        <v>1</v>
      </c>
      <c r="C1" t="s">
        <v>465</v>
      </c>
      <c r="D1" t="s">
        <v>2</v>
      </c>
      <c r="E1" t="s">
        <v>3</v>
      </c>
    </row>
    <row r="2" spans="1:5" x14ac:dyDescent="0.3">
      <c r="A2" t="s">
        <v>466</v>
      </c>
      <c r="B2">
        <v>1710812526671</v>
      </c>
      <c r="C2" t="s">
        <v>760</v>
      </c>
      <c r="D2">
        <v>1.7108125266716201E+18</v>
      </c>
      <c r="E2" t="s">
        <v>761</v>
      </c>
    </row>
    <row r="3" spans="1:5" x14ac:dyDescent="0.3">
      <c r="A3" t="s">
        <v>466</v>
      </c>
      <c r="B3">
        <v>1710812525355</v>
      </c>
      <c r="C3" t="s">
        <v>762</v>
      </c>
      <c r="D3">
        <v>1.71081252535534E+18</v>
      </c>
      <c r="E3" t="s">
        <v>763</v>
      </c>
    </row>
    <row r="7" spans="1:5" x14ac:dyDescent="0.3">
      <c r="B7">
        <f>(B3-B2)/1000</f>
        <v>-1.3160000000000001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A532-7653-44DD-916B-9F9A6FD24B49}">
  <dimension ref="A1:E8"/>
  <sheetViews>
    <sheetView workbookViewId="0">
      <selection activeCell="E9" sqref="E9"/>
    </sheetView>
  </sheetViews>
  <sheetFormatPr defaultRowHeight="16.2" x14ac:dyDescent="0.3"/>
  <cols>
    <col min="2" max="2" width="41.21875" customWidth="1"/>
  </cols>
  <sheetData>
    <row r="1" spans="1:5" x14ac:dyDescent="0.3">
      <c r="A1" t="s">
        <v>0</v>
      </c>
      <c r="B1" t="s">
        <v>1</v>
      </c>
      <c r="C1" t="s">
        <v>465</v>
      </c>
      <c r="D1" t="s">
        <v>2</v>
      </c>
      <c r="E1" t="s">
        <v>3</v>
      </c>
    </row>
    <row r="2" spans="1:5" x14ac:dyDescent="0.3">
      <c r="A2" t="s">
        <v>466</v>
      </c>
      <c r="B2">
        <v>1710812532561</v>
      </c>
      <c r="C2" t="s">
        <v>764</v>
      </c>
      <c r="D2" s="1" t="s">
        <v>765</v>
      </c>
      <c r="E2" t="s">
        <v>766</v>
      </c>
    </row>
    <row r="3" spans="1:5" x14ac:dyDescent="0.3">
      <c r="A3" t="s">
        <v>466</v>
      </c>
      <c r="B3">
        <v>1710812526852</v>
      </c>
      <c r="C3" t="s">
        <v>767</v>
      </c>
      <c r="D3" s="1" t="s">
        <v>768</v>
      </c>
      <c r="E3" t="s">
        <v>769</v>
      </c>
    </row>
    <row r="8" spans="1:5" x14ac:dyDescent="0.3">
      <c r="B8">
        <f>(B3-B2)/1000</f>
        <v>-5.7089999999999996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F5F4-D8F1-4487-A890-7811BF3AA087}">
  <dimension ref="A1:E7"/>
  <sheetViews>
    <sheetView workbookViewId="0">
      <selection activeCell="I17" sqref="I16:I17"/>
    </sheetView>
  </sheetViews>
  <sheetFormatPr defaultRowHeight="16.2" x14ac:dyDescent="0.3"/>
  <cols>
    <col min="2" max="2" width="25.77734375" customWidth="1"/>
  </cols>
  <sheetData>
    <row r="1" spans="1:5" x14ac:dyDescent="0.3">
      <c r="A1" t="s">
        <v>0</v>
      </c>
      <c r="B1" t="s">
        <v>1</v>
      </c>
      <c r="C1" t="s">
        <v>465</v>
      </c>
      <c r="D1" t="s">
        <v>2</v>
      </c>
      <c r="E1" t="s">
        <v>3</v>
      </c>
    </row>
    <row r="2" spans="1:5" x14ac:dyDescent="0.3">
      <c r="A2" t="s">
        <v>466</v>
      </c>
      <c r="B2">
        <v>1710812532656</v>
      </c>
      <c r="C2" t="s">
        <v>770</v>
      </c>
      <c r="D2">
        <v>1.7108125326564401E+18</v>
      </c>
      <c r="E2" t="s">
        <v>771</v>
      </c>
    </row>
    <row r="3" spans="1:5" x14ac:dyDescent="0.3">
      <c r="A3" t="s">
        <v>466</v>
      </c>
      <c r="B3">
        <v>1710812532561</v>
      </c>
      <c r="C3" t="s">
        <v>764</v>
      </c>
      <c r="D3">
        <v>1.7108125325618601E+18</v>
      </c>
      <c r="E3" t="s">
        <v>766</v>
      </c>
    </row>
    <row r="7" spans="1:5" x14ac:dyDescent="0.3">
      <c r="B7">
        <f>(B3-B2)/1000</f>
        <v>-9.5000000000000001E-2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41CF-20F6-456F-80E5-51DA4EE5A6B6}">
  <dimension ref="A5:F51"/>
  <sheetViews>
    <sheetView tabSelected="1" workbookViewId="0">
      <selection activeCell="I16" sqref="I16"/>
    </sheetView>
  </sheetViews>
  <sheetFormatPr defaultRowHeight="16.2" x14ac:dyDescent="0.3"/>
  <cols>
    <col min="1" max="1" width="40.44140625" customWidth="1"/>
    <col min="3" max="3" width="36" customWidth="1"/>
    <col min="4" max="4" width="15.5546875" customWidth="1"/>
    <col min="5" max="5" width="14.6640625" bestFit="1" customWidth="1"/>
    <col min="6" max="6" width="13.5546875" bestFit="1" customWidth="1"/>
  </cols>
  <sheetData>
    <row r="5" spans="1:6" x14ac:dyDescent="0.3">
      <c r="A5" t="s">
        <v>777</v>
      </c>
    </row>
    <row r="6" spans="1:6" ht="16.8" thickBot="1" x14ac:dyDescent="0.35">
      <c r="A6" t="s">
        <v>758</v>
      </c>
      <c r="C6" s="5"/>
      <c r="D6" s="7" t="s">
        <v>755</v>
      </c>
      <c r="E6" s="7" t="s">
        <v>756</v>
      </c>
      <c r="F6" s="7" t="s">
        <v>757</v>
      </c>
    </row>
    <row r="7" spans="1:6" x14ac:dyDescent="0.3">
      <c r="C7" s="5" t="s">
        <v>779</v>
      </c>
      <c r="D7" s="11">
        <f>D9/30</f>
        <v>2.9166666666666664E-3</v>
      </c>
      <c r="E7" s="11">
        <f>E9/30</f>
        <v>3.2749999999999994E-2</v>
      </c>
      <c r="F7" s="11">
        <f t="shared" ref="F7" si="0">F9/30</f>
        <v>8.3333333333333339E-4</v>
      </c>
    </row>
    <row r="8" spans="1:6" x14ac:dyDescent="0.3">
      <c r="C8" s="5" t="s">
        <v>780</v>
      </c>
      <c r="D8" s="11">
        <f>30/D9</f>
        <v>342.85714285714289</v>
      </c>
      <c r="E8" s="11">
        <f>30/E9</f>
        <v>30.534351145038169</v>
      </c>
      <c r="F8" s="11">
        <f>30/F9</f>
        <v>1200</v>
      </c>
    </row>
    <row r="9" spans="1:6" x14ac:dyDescent="0.3">
      <c r="C9" s="8" t="s">
        <v>781</v>
      </c>
      <c r="D9" s="12">
        <f>D10/40</f>
        <v>8.7499999999999994E-2</v>
      </c>
      <c r="E9" s="12">
        <f>E10/40</f>
        <v>0.98249999999999993</v>
      </c>
      <c r="F9" s="12">
        <f t="shared" ref="F9" si="1">F10/40</f>
        <v>2.5000000000000001E-2</v>
      </c>
    </row>
    <row r="10" spans="1:6" x14ac:dyDescent="0.3">
      <c r="C10" s="5" t="s">
        <v>759</v>
      </c>
      <c r="D10" s="13">
        <v>3.5</v>
      </c>
      <c r="E10" s="13">
        <v>39.299999999999997</v>
      </c>
      <c r="F10" s="13">
        <v>1</v>
      </c>
    </row>
    <row r="11" spans="1:6" x14ac:dyDescent="0.3">
      <c r="A11" t="s">
        <v>778</v>
      </c>
    </row>
    <row r="12" spans="1:6" ht="16.8" thickBot="1" x14ac:dyDescent="0.35">
      <c r="A12" t="s">
        <v>772</v>
      </c>
      <c r="C12" s="5"/>
      <c r="D12" s="7" t="s">
        <v>755</v>
      </c>
      <c r="E12" s="7" t="s">
        <v>756</v>
      </c>
      <c r="F12" s="7" t="s">
        <v>757</v>
      </c>
    </row>
    <row r="13" spans="1:6" x14ac:dyDescent="0.3">
      <c r="C13" s="5" t="s">
        <v>775</v>
      </c>
      <c r="D13" s="9">
        <f>D15/100</f>
        <v>3.0000000000000001E-3</v>
      </c>
      <c r="E13" s="9">
        <f>E15/100</f>
        <v>5.7000000000000002E-2</v>
      </c>
      <c r="F13" s="9">
        <f>F15/100</f>
        <v>1E-3</v>
      </c>
    </row>
    <row r="14" spans="1:6" x14ac:dyDescent="0.3">
      <c r="C14" s="5" t="s">
        <v>780</v>
      </c>
      <c r="D14" s="9">
        <f>1/D15</f>
        <v>3.3333333333333335</v>
      </c>
      <c r="E14" s="9">
        <f>1/E15</f>
        <v>0.17543859649122806</v>
      </c>
      <c r="F14" s="9">
        <f>1/F15</f>
        <v>10</v>
      </c>
    </row>
    <row r="15" spans="1:6" x14ac:dyDescent="0.3">
      <c r="C15" s="8" t="s">
        <v>781</v>
      </c>
      <c r="D15" s="14">
        <v>0.3</v>
      </c>
      <c r="E15" s="14">
        <v>5.7</v>
      </c>
      <c r="F15" s="14">
        <v>0.1</v>
      </c>
    </row>
    <row r="16" spans="1:6" x14ac:dyDescent="0.3">
      <c r="C16" s="5" t="s">
        <v>773</v>
      </c>
      <c r="D16" s="10">
        <f>D15*10</f>
        <v>3</v>
      </c>
      <c r="E16" s="10">
        <f>E15*10</f>
        <v>57</v>
      </c>
      <c r="F16" s="10">
        <f>F15*10</f>
        <v>1</v>
      </c>
    </row>
    <row r="17" spans="1:6" x14ac:dyDescent="0.3">
      <c r="C17" s="5" t="s">
        <v>774</v>
      </c>
      <c r="D17" s="10">
        <f>D16*2</f>
        <v>6</v>
      </c>
      <c r="E17" s="10">
        <f>E16*2</f>
        <v>114</v>
      </c>
      <c r="F17" s="10">
        <f t="shared" ref="F17" si="2">F16*2</f>
        <v>2</v>
      </c>
    </row>
    <row r="19" spans="1:6" x14ac:dyDescent="0.3">
      <c r="C19" t="s">
        <v>777</v>
      </c>
    </row>
    <row r="20" spans="1:6" ht="16.8" thickBot="1" x14ac:dyDescent="0.35">
      <c r="A20" t="s">
        <v>776</v>
      </c>
      <c r="C20" s="5"/>
      <c r="D20" s="7" t="s">
        <v>755</v>
      </c>
      <c r="E20" s="7" t="s">
        <v>756</v>
      </c>
      <c r="F20" s="7" t="s">
        <v>757</v>
      </c>
    </row>
    <row r="21" spans="1:6" x14ac:dyDescent="0.3">
      <c r="C21" s="5" t="s">
        <v>759</v>
      </c>
      <c r="D21" s="11">
        <f>D7*1000*1000</f>
        <v>2916.6666666666665</v>
      </c>
      <c r="E21" s="11">
        <f>E7*1000*1000</f>
        <v>32749.999999999993</v>
      </c>
      <c r="F21" s="11">
        <f>F7*1000*1000</f>
        <v>833.33333333333337</v>
      </c>
    </row>
    <row r="24" spans="1:6" x14ac:dyDescent="0.3">
      <c r="C24" t="s">
        <v>778</v>
      </c>
    </row>
    <row r="25" spans="1:6" ht="16.8" thickBot="1" x14ac:dyDescent="0.35">
      <c r="C25" s="5"/>
      <c r="D25" s="7" t="s">
        <v>755</v>
      </c>
      <c r="E25" s="7" t="s">
        <v>756</v>
      </c>
      <c r="F25" s="7" t="s">
        <v>757</v>
      </c>
    </row>
    <row r="26" spans="1:6" x14ac:dyDescent="0.3">
      <c r="C26" s="5" t="s">
        <v>759</v>
      </c>
      <c r="D26" s="6">
        <f>D13*1000*1000</f>
        <v>3000</v>
      </c>
      <c r="E26" s="6">
        <f>E13*1000*1000</f>
        <v>57000</v>
      </c>
      <c r="F26" s="6">
        <f>F13*1000*1000</f>
        <v>1000</v>
      </c>
    </row>
    <row r="34" spans="4:4" x14ac:dyDescent="0.3">
      <c r="D34" t="s">
        <v>782</v>
      </c>
    </row>
    <row r="35" spans="4:4" x14ac:dyDescent="0.3">
      <c r="D35" t="s">
        <v>783</v>
      </c>
    </row>
    <row r="37" spans="4:4" x14ac:dyDescent="0.3">
      <c r="D37" t="s">
        <v>784</v>
      </c>
    </row>
    <row r="41" spans="4:4" x14ac:dyDescent="0.3">
      <c r="D41" t="s">
        <v>785</v>
      </c>
    </row>
    <row r="42" spans="4:4" x14ac:dyDescent="0.3">
      <c r="D42" t="s">
        <v>786</v>
      </c>
    </row>
    <row r="44" spans="4:4" x14ac:dyDescent="0.3">
      <c r="D44" t="s">
        <v>787</v>
      </c>
    </row>
    <row r="47" spans="4:4" x14ac:dyDescent="0.3">
      <c r="D47" t="s">
        <v>788</v>
      </c>
    </row>
    <row r="48" spans="4:4" x14ac:dyDescent="0.3">
      <c r="D48" t="s">
        <v>789</v>
      </c>
    </row>
    <row r="51" spans="4:4" x14ac:dyDescent="0.3">
      <c r="D51" t="s">
        <v>790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unapply</vt:lpstr>
      <vt:lpstr>查salepage</vt:lpstr>
      <vt:lpstr>檢查API</vt:lpstr>
      <vt:lpstr>角標100_查詢</vt:lpstr>
      <vt:lpstr>解綁100</vt:lpstr>
      <vt:lpstr>檢查100</vt:lpstr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Lin</dc:creator>
  <cp:lastModifiedBy>Allen Lin</cp:lastModifiedBy>
  <dcterms:created xsi:type="dcterms:W3CDTF">2024-03-18T16:30:33Z</dcterms:created>
  <dcterms:modified xsi:type="dcterms:W3CDTF">2024-03-19T02:51:58Z</dcterms:modified>
</cp:coreProperties>
</file>